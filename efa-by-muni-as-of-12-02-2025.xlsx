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DOPS\BSF\AIDS\Education Freedom Account\FY 2026\January Calculation\Website Updates\"/>
    </mc:Choice>
  </mc:AlternateContent>
  <xr:revisionPtr revIDLastSave="0" documentId="13_ncr:1_{2974818B-D186-44CC-92E7-43280073E46E}" xr6:coauthVersionLast="47" xr6:coauthVersionMax="47" xr10:uidLastSave="{00000000-0000-0000-0000-000000000000}"/>
  <bookViews>
    <workbookView xWindow="28680" yWindow="-120" windowWidth="29040" windowHeight="15720" xr2:uid="{FFAF9898-5681-4E31-B492-4239DD420A72}"/>
  </bookViews>
  <sheets>
    <sheet name="Sheet1" sheetId="3" r:id="rId1"/>
  </sheets>
  <definedNames>
    <definedName name="_xlnm.Print_Area" localSheetId="0">Sheet1!$E$2:$T$252</definedName>
    <definedName name="_xlnm.Print_Titles" localSheetId="0">Sheet1!$2:$6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2" i="3" l="1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</calcChain>
</file>

<file path=xl/sharedStrings.xml><?xml version="1.0" encoding="utf-8"?>
<sst xmlns="http://schemas.openxmlformats.org/spreadsheetml/2006/main" count="515" uniqueCount="269">
  <si>
    <t>State Total</t>
  </si>
  <si>
    <t>Education Freedom Accounts By Residence Of Student
SFY 2026</t>
  </si>
  <si>
    <t>Education Freedom Accounts By Residence Of Student , Cost of An Adequate Education Calculation</t>
  </si>
  <si>
    <t>Payment Schedule For SFY 2026</t>
  </si>
  <si>
    <t>Base Aid</t>
  </si>
  <si>
    <t xml:space="preserve">Federal Free &amp; Reduced (F&amp;R) Price Meal Eligible </t>
  </si>
  <si>
    <t>Special Education Aid</t>
  </si>
  <si>
    <t>English Language Learn Aid</t>
  </si>
  <si>
    <t>Total Calculated Cost of an Adequate Education</t>
  </si>
  <si>
    <t>September 1st Payment (20 Percent of August 2nd Head Count)</t>
  </si>
  <si>
    <t>November 1st Payment (20 Percent of October 2nd Head Count)</t>
  </si>
  <si>
    <t>January 1st Payment (30 Percent of December 2nd Head Count)</t>
  </si>
  <si>
    <t>April 1st Payment (30 Percent of March 2nd Head Count)</t>
  </si>
  <si>
    <t>From EOY Data Excl Charter And OOS</t>
  </si>
  <si>
    <t>2025-2026 EFA Membership 
as of Jan 1</t>
  </si>
  <si>
    <t>Base Adequacy Aid</t>
  </si>
  <si>
    <t>2025-2026 EFA F&amp;R Membership
 as of Jan 1</t>
  </si>
  <si>
    <t>Free or Reduced Differentiated Aid</t>
  </si>
  <si>
    <t>2025-2026
SPED Membership as of Jan 1</t>
  </si>
  <si>
    <t>Special Education Differentiated Aid</t>
  </si>
  <si>
    <t>2025-2026
ELL Membership as of Jan 1</t>
  </si>
  <si>
    <t>ELL Differentiated Aid</t>
  </si>
  <si>
    <t>ADM</t>
  </si>
  <si>
    <t>Loc #</t>
  </si>
  <si>
    <t>Acworth</t>
  </si>
  <si>
    <t>Albany</t>
  </si>
  <si>
    <t>Alexandria</t>
  </si>
  <si>
    <t>Allenstown</t>
  </si>
  <si>
    <t>Alstead</t>
  </si>
  <si>
    <t>Alton</t>
  </si>
  <si>
    <t>Amherst</t>
  </si>
  <si>
    <t>Andover</t>
  </si>
  <si>
    <t>Antrim</t>
  </si>
  <si>
    <t>Ashland</t>
  </si>
  <si>
    <t>Atkinson</t>
  </si>
  <si>
    <t>Auburn</t>
  </si>
  <si>
    <t>Barnstead</t>
  </si>
  <si>
    <t>Barrington</t>
  </si>
  <si>
    <t>Bartlett</t>
  </si>
  <si>
    <t>Bath</t>
  </si>
  <si>
    <t>Bedford</t>
  </si>
  <si>
    <t>Belmont</t>
  </si>
  <si>
    <t>Bennington</t>
  </si>
  <si>
    <t>Benton</t>
  </si>
  <si>
    <t>Berlin</t>
  </si>
  <si>
    <t>Bethlehem</t>
  </si>
  <si>
    <t>Boscawen</t>
  </si>
  <si>
    <t>Bow</t>
  </si>
  <si>
    <t>Bradford</t>
  </si>
  <si>
    <t>Brentwood</t>
  </si>
  <si>
    <t>Bridgewater</t>
  </si>
  <si>
    <t>Bristol</t>
  </si>
  <si>
    <t>Brookfield</t>
  </si>
  <si>
    <t>Brookline</t>
  </si>
  <si>
    <t>Cambridge</t>
  </si>
  <si>
    <t>Campton</t>
  </si>
  <si>
    <t>Canaan</t>
  </si>
  <si>
    <t>Candia</t>
  </si>
  <si>
    <t>Canterbury</t>
  </si>
  <si>
    <t>Carroll</t>
  </si>
  <si>
    <t>Center Harbor</t>
  </si>
  <si>
    <t>Charlestown</t>
  </si>
  <si>
    <t>Chatham</t>
  </si>
  <si>
    <t>Chester</t>
  </si>
  <si>
    <t>Chesterfield</t>
  </si>
  <si>
    <t>Chichester</t>
  </si>
  <si>
    <t>Claremont</t>
  </si>
  <si>
    <t>Clarksville</t>
  </si>
  <si>
    <t>Colebrook</t>
  </si>
  <si>
    <t>Columbia</t>
  </si>
  <si>
    <t>Concord</t>
  </si>
  <si>
    <t>Conway</t>
  </si>
  <si>
    <t>Cornish</t>
  </si>
  <si>
    <t>Croydon</t>
  </si>
  <si>
    <t>Dalton</t>
  </si>
  <si>
    <t>Danbury</t>
  </si>
  <si>
    <t>Danville</t>
  </si>
  <si>
    <t>Deerfield</t>
  </si>
  <si>
    <t>Deering</t>
  </si>
  <si>
    <t>Derry</t>
  </si>
  <si>
    <t>Dix's Grant</t>
  </si>
  <si>
    <t>Dixville</t>
  </si>
  <si>
    <t>Dorchester</t>
  </si>
  <si>
    <t>Dover</t>
  </si>
  <si>
    <t>Dublin</t>
  </si>
  <si>
    <t>Dummer</t>
  </si>
  <si>
    <t>Dunbarton</t>
  </si>
  <si>
    <t>Durham</t>
  </si>
  <si>
    <t>East Kingston</t>
  </si>
  <si>
    <t>Easton</t>
  </si>
  <si>
    <t>Eaton</t>
  </si>
  <si>
    <t>Effingham</t>
  </si>
  <si>
    <t>Ellsworth</t>
  </si>
  <si>
    <t>Enfield</t>
  </si>
  <si>
    <t>Epping</t>
  </si>
  <si>
    <t>Epsom</t>
  </si>
  <si>
    <t>Errol</t>
  </si>
  <si>
    <t>Exeter</t>
  </si>
  <si>
    <t>Farmington</t>
  </si>
  <si>
    <t>Fitzwilliam</t>
  </si>
  <si>
    <t>Francestown</t>
  </si>
  <si>
    <t>Franconia</t>
  </si>
  <si>
    <t>Franklin</t>
  </si>
  <si>
    <t>Freedom</t>
  </si>
  <si>
    <t>Fremont</t>
  </si>
  <si>
    <t>Gilford</t>
  </si>
  <si>
    <t>Gilmanton</t>
  </si>
  <si>
    <t>Gilsum</t>
  </si>
  <si>
    <t>Goffstown</t>
  </si>
  <si>
    <t>Gorham</t>
  </si>
  <si>
    <t>Goshen</t>
  </si>
  <si>
    <t>Grafton</t>
  </si>
  <si>
    <t>Grantham</t>
  </si>
  <si>
    <t>Greenfield</t>
  </si>
  <si>
    <t>Greenland</t>
  </si>
  <si>
    <t>Greenville</t>
  </si>
  <si>
    <t>Groton</t>
  </si>
  <si>
    <t>Hale's Location</t>
  </si>
  <si>
    <t>Hampstead</t>
  </si>
  <si>
    <t>Hampton</t>
  </si>
  <si>
    <t>Hampton Falls</t>
  </si>
  <si>
    <t>Hancock</t>
  </si>
  <si>
    <t>Hanover</t>
  </si>
  <si>
    <t>Harrisville</t>
  </si>
  <si>
    <t>Hart's Location</t>
  </si>
  <si>
    <t>Haverhill</t>
  </si>
  <si>
    <t>Hebron</t>
  </si>
  <si>
    <t>Henniker</t>
  </si>
  <si>
    <t>Hill</t>
  </si>
  <si>
    <t>Hillsboro</t>
  </si>
  <si>
    <t>Hinsdale</t>
  </si>
  <si>
    <t>Holderness</t>
  </si>
  <si>
    <t>Hollis</t>
  </si>
  <si>
    <t>Hooksett</t>
  </si>
  <si>
    <t>Hopkinton</t>
  </si>
  <si>
    <t>Hudson</t>
  </si>
  <si>
    <t>Jackson</t>
  </si>
  <si>
    <t>Jaffrey</t>
  </si>
  <si>
    <t>Jefferson</t>
  </si>
  <si>
    <t>Keene</t>
  </si>
  <si>
    <t>Kensington</t>
  </si>
  <si>
    <t>Kingston</t>
  </si>
  <si>
    <t>Laconia</t>
  </si>
  <si>
    <t>Lancaster</t>
  </si>
  <si>
    <t>Landaff</t>
  </si>
  <si>
    <t>Langdon</t>
  </si>
  <si>
    <t>Lebanon</t>
  </si>
  <si>
    <t>Lee</t>
  </si>
  <si>
    <t>Lempster</t>
  </si>
  <si>
    <t>Lincoln</t>
  </si>
  <si>
    <t>Lisbon</t>
  </si>
  <si>
    <t>Litchfield</t>
  </si>
  <si>
    <t>Littleton</t>
  </si>
  <si>
    <t>Londonderry</t>
  </si>
  <si>
    <t>Loudon</t>
  </si>
  <si>
    <t>Lyman</t>
  </si>
  <si>
    <t>Lyme</t>
  </si>
  <si>
    <t>Lyndeborough</t>
  </si>
  <si>
    <t>Madbury</t>
  </si>
  <si>
    <t>Madison</t>
  </si>
  <si>
    <t>Manchester</t>
  </si>
  <si>
    <t>Marlborough</t>
  </si>
  <si>
    <t>Marlow</t>
  </si>
  <si>
    <t>Martin's Location</t>
  </si>
  <si>
    <t>Mason</t>
  </si>
  <si>
    <t>Meredith</t>
  </si>
  <si>
    <t>Merrimack</t>
  </si>
  <si>
    <t>Middleton</t>
  </si>
  <si>
    <t>Milan</t>
  </si>
  <si>
    <t>Milford</t>
  </si>
  <si>
    <t>Millsfield</t>
  </si>
  <si>
    <t>Milton</t>
  </si>
  <si>
    <t>Monroe</t>
  </si>
  <si>
    <t>Mont Vernon</t>
  </si>
  <si>
    <t>Moultonborough</t>
  </si>
  <si>
    <t>Nashua</t>
  </si>
  <si>
    <t>Nelson</t>
  </si>
  <si>
    <t>New Boston</t>
  </si>
  <si>
    <t>Newbury</t>
  </si>
  <si>
    <t>New Castle</t>
  </si>
  <si>
    <t>New Durham</t>
  </si>
  <si>
    <t>Newfields</t>
  </si>
  <si>
    <t>New Hampton</t>
  </si>
  <si>
    <t>Newington</t>
  </si>
  <si>
    <t>New Ipswich</t>
  </si>
  <si>
    <t>New London</t>
  </si>
  <si>
    <t>Newmarket</t>
  </si>
  <si>
    <t>Newport</t>
  </si>
  <si>
    <t>Newton</t>
  </si>
  <si>
    <t>Northfield</t>
  </si>
  <si>
    <t>North Hampton</t>
  </si>
  <si>
    <t>Northumberland</t>
  </si>
  <si>
    <t>Northwood</t>
  </si>
  <si>
    <t>Nottingham</t>
  </si>
  <si>
    <t>Odell</t>
  </si>
  <si>
    <t>Orange</t>
  </si>
  <si>
    <t>Ossipee</t>
  </si>
  <si>
    <t>Pelham</t>
  </si>
  <si>
    <t>Pembroke</t>
  </si>
  <si>
    <t>Penacook</t>
  </si>
  <si>
    <t>Peterborough</t>
  </si>
  <si>
    <t>Piermont</t>
  </si>
  <si>
    <t>Pinkham's Grant</t>
  </si>
  <si>
    <t>Pittsburg</t>
  </si>
  <si>
    <t>Pittsfield</t>
  </si>
  <si>
    <t>Plainfield</t>
  </si>
  <si>
    <t>Plaistow</t>
  </si>
  <si>
    <t>Plymouth</t>
  </si>
  <si>
    <t>Portsmouth</t>
  </si>
  <si>
    <t>Randolph</t>
  </si>
  <si>
    <t>Raymond</t>
  </si>
  <si>
    <t>Richmond</t>
  </si>
  <si>
    <t>Rindge</t>
  </si>
  <si>
    <t>Rochester</t>
  </si>
  <si>
    <t>Rollinsford</t>
  </si>
  <si>
    <t>Roxbury</t>
  </si>
  <si>
    <t>Rumney</t>
  </si>
  <si>
    <t>Rye</t>
  </si>
  <si>
    <t>Salem</t>
  </si>
  <si>
    <t>Salisbury</t>
  </si>
  <si>
    <t>Sanbornton</t>
  </si>
  <si>
    <t>Sandown</t>
  </si>
  <si>
    <t>Sandwich</t>
  </si>
  <si>
    <t>Seabrook</t>
  </si>
  <si>
    <t>Sharon</t>
  </si>
  <si>
    <t>Shelburne</t>
  </si>
  <si>
    <t>Somersworth</t>
  </si>
  <si>
    <t>South Hampton</t>
  </si>
  <si>
    <t>Springfield</t>
  </si>
  <si>
    <t>Stark</t>
  </si>
  <si>
    <t>Stewartstown</t>
  </si>
  <si>
    <t>Stoddard</t>
  </si>
  <si>
    <t>Strafford</t>
  </si>
  <si>
    <t>Stratford</t>
  </si>
  <si>
    <t>Stratham</t>
  </si>
  <si>
    <t>Sugar Hill</t>
  </si>
  <si>
    <t>Sullivan</t>
  </si>
  <si>
    <t>Success</t>
  </si>
  <si>
    <t>Sunapee</t>
  </si>
  <si>
    <t>Surry</t>
  </si>
  <si>
    <t>Sutton</t>
  </si>
  <si>
    <t>Swanzey</t>
  </si>
  <si>
    <t>Tamworth</t>
  </si>
  <si>
    <t>Temple</t>
  </si>
  <si>
    <t>Thornton</t>
  </si>
  <si>
    <t>Tilton</t>
  </si>
  <si>
    <t>Troy</t>
  </si>
  <si>
    <t>Tuftonboro</t>
  </si>
  <si>
    <t>Unity</t>
  </si>
  <si>
    <t>Wakefield</t>
  </si>
  <si>
    <t>Walpole</t>
  </si>
  <si>
    <t>Warner</t>
  </si>
  <si>
    <t>Warren</t>
  </si>
  <si>
    <t>Washington</t>
  </si>
  <si>
    <t>Waterville Valley</t>
  </si>
  <si>
    <t>Weare</t>
  </si>
  <si>
    <t>Webster</t>
  </si>
  <si>
    <t>Wentworth</t>
  </si>
  <si>
    <t>Wentworth's Location</t>
  </si>
  <si>
    <t>Westmoreland</t>
  </si>
  <si>
    <t>Whitefield</t>
  </si>
  <si>
    <t>Wilmot</t>
  </si>
  <si>
    <t>Wilton</t>
  </si>
  <si>
    <t>Winchester</t>
  </si>
  <si>
    <t>Windham</t>
  </si>
  <si>
    <t>Windsor</t>
  </si>
  <si>
    <t>Wolfeboro</t>
  </si>
  <si>
    <t>Woodstock</t>
  </si>
  <si>
    <t>Orford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</si>
</sst>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(* #,##0.0_);_(* \(#,##0.0\);_(* &quot;-&quot;?_);_(@_)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sz val="10"/>
      <color indexed="8"/>
      <name val="Arial"/>
      <family val="2"/>
    </font>
    <font>
      <b/>
      <sz val="14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2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43" fontId="25" fillId="0" borderId="0" applyFont="0" applyFill="0" applyBorder="0" applyAlignment="0" applyProtection="0"/>
  </cellStyleXfs>
  <cellXfs count="86">
    <xf numFmtId="0" fontId="0" fillId="0" borderId="0" xfId="0"/>
    <xf numFmtId="0" fontId="19" fillId="0" borderId="0" xfId="43" applyFont="1" applyAlignment="1">
      <alignment horizontal="center"/>
    </xf>
    <xf numFmtId="0" fontId="19" fillId="0" borderId="0" xfId="43" applyFont="1"/>
    <xf numFmtId="0" fontId="19" fillId="0" borderId="0" xfId="43" applyFont="1" applyAlignment="1">
      <alignment wrapText="1"/>
    </xf>
    <xf numFmtId="164" fontId="23" fillId="34" borderId="10" xfId="43" applyNumberFormat="1" applyFont="1" applyFill="1" applyBorder="1" applyAlignment="1">
      <alignment horizontal="center" vertical="center" wrapText="1"/>
    </xf>
    <xf numFmtId="0" fontId="23" fillId="34" borderId="10" xfId="43" applyFont="1" applyFill="1" applyBorder="1" applyAlignment="1">
      <alignment horizontal="center" vertical="center" wrapText="1"/>
    </xf>
    <xf numFmtId="164" fontId="23" fillId="35" borderId="10" xfId="43" applyNumberFormat="1" applyFont="1" applyFill="1" applyBorder="1" applyAlignment="1">
      <alignment horizontal="center" vertical="center" wrapText="1"/>
    </xf>
    <xf numFmtId="0" fontId="23" fillId="35" borderId="10" xfId="43" applyFont="1" applyFill="1" applyBorder="1" applyAlignment="1">
      <alignment horizontal="center" vertical="center" wrapText="1"/>
    </xf>
    <xf numFmtId="164" fontId="23" fillId="36" borderId="10" xfId="43" applyNumberFormat="1" applyFont="1" applyFill="1" applyBorder="1" applyAlignment="1">
      <alignment horizontal="center" vertical="center" wrapText="1"/>
    </xf>
    <xf numFmtId="0" fontId="23" fillId="36" borderId="10" xfId="43" applyFont="1" applyFill="1" applyBorder="1" applyAlignment="1">
      <alignment horizontal="center" vertical="center" wrapText="1"/>
    </xf>
    <xf numFmtId="164" fontId="23" fillId="37" borderId="10" xfId="43" applyNumberFormat="1" applyFont="1" applyFill="1" applyBorder="1" applyAlignment="1">
      <alignment horizontal="center" vertical="center" wrapText="1"/>
    </xf>
    <xf numFmtId="0" fontId="23" fillId="37" borderId="10" xfId="43" applyFont="1" applyFill="1" applyBorder="1" applyAlignment="1">
      <alignment horizontal="center" vertical="center" wrapText="1"/>
    </xf>
    <xf numFmtId="0" fontId="23" fillId="34" borderId="10" xfId="43" applyFont="1" applyFill="1" applyBorder="1" applyAlignment="1">
      <alignment horizontal="center" vertical="center"/>
    </xf>
    <xf numFmtId="7" fontId="23" fillId="34" borderId="10" xfId="43" applyNumberFormat="1" applyFont="1" applyFill="1" applyBorder="1" applyAlignment="1">
      <alignment horizontal="center" vertical="center"/>
    </xf>
    <xf numFmtId="0" fontId="23" fillId="35" borderId="10" xfId="43" applyFont="1" applyFill="1" applyBorder="1" applyAlignment="1">
      <alignment horizontal="center"/>
    </xf>
    <xf numFmtId="7" fontId="23" fillId="35" borderId="10" xfId="43" applyNumberFormat="1" applyFont="1" applyFill="1" applyBorder="1" applyAlignment="1">
      <alignment horizontal="center"/>
    </xf>
    <xf numFmtId="0" fontId="23" fillId="36" borderId="10" xfId="43" applyFont="1" applyFill="1" applyBorder="1" applyAlignment="1">
      <alignment horizontal="center"/>
    </xf>
    <xf numFmtId="7" fontId="23" fillId="36" borderId="10" xfId="43" applyNumberFormat="1" applyFont="1" applyFill="1" applyBorder="1" applyAlignment="1">
      <alignment horizontal="center"/>
    </xf>
    <xf numFmtId="4" fontId="23" fillId="37" borderId="10" xfId="43" applyNumberFormat="1" applyFont="1" applyFill="1" applyBorder="1" applyAlignment="1">
      <alignment horizontal="center"/>
    </xf>
    <xf numFmtId="7" fontId="23" fillId="37" borderId="10" xfId="43" applyNumberFormat="1" applyFont="1" applyFill="1" applyBorder="1" applyAlignment="1">
      <alignment horizontal="center"/>
    </xf>
    <xf numFmtId="0" fontId="19" fillId="0" borderId="10" xfId="43" applyFont="1" applyBorder="1"/>
    <xf numFmtId="0" fontId="23" fillId="0" borderId="0" xfId="43" applyFont="1"/>
    <xf numFmtId="0" fontId="23" fillId="33" borderId="11" xfId="43" applyFont="1" applyFill="1" applyBorder="1"/>
    <xf numFmtId="0" fontId="23" fillId="33" borderId="23" xfId="43" applyFont="1" applyFill="1" applyBorder="1"/>
    <xf numFmtId="4" fontId="26" fillId="34" borderId="10" xfId="44" applyNumberFormat="1" applyFont="1" applyFill="1" applyBorder="1"/>
    <xf numFmtId="44" fontId="26" fillId="34" borderId="10" xfId="44" applyNumberFormat="1" applyFont="1" applyFill="1" applyBorder="1"/>
    <xf numFmtId="4" fontId="26" fillId="35" borderId="10" xfId="44" applyNumberFormat="1" applyFont="1" applyFill="1" applyBorder="1"/>
    <xf numFmtId="44" fontId="26" fillId="35" borderId="10" xfId="44" applyNumberFormat="1" applyFont="1" applyFill="1" applyBorder="1"/>
    <xf numFmtId="39" fontId="26" fillId="36" borderId="10" xfId="44" applyNumberFormat="1" applyFont="1" applyFill="1" applyBorder="1"/>
    <xf numFmtId="44" fontId="26" fillId="36" borderId="10" xfId="44" applyNumberFormat="1" applyFont="1" applyFill="1" applyBorder="1"/>
    <xf numFmtId="4" fontId="26" fillId="37" borderId="10" xfId="44" applyNumberFormat="1" applyFont="1" applyFill="1" applyBorder="1"/>
    <xf numFmtId="44" fontId="26" fillId="37" borderId="10" xfId="44" applyNumberFormat="1" applyFont="1" applyFill="1" applyBorder="1"/>
    <xf numFmtId="44" fontId="26" fillId="33" borderId="12" xfId="44" applyNumberFormat="1" applyFont="1" applyFill="1" applyBorder="1"/>
    <xf numFmtId="44" fontId="26" fillId="33" borderId="11" xfId="44" applyNumberFormat="1" applyFont="1" applyFill="1" applyBorder="1"/>
    <xf numFmtId="44" fontId="26" fillId="33" borderId="10" xfId="44" applyNumberFormat="1" applyFont="1" applyFill="1" applyBorder="1"/>
    <xf numFmtId="0" fontId="23" fillId="0" borderId="10" xfId="43" applyFont="1" applyBorder="1"/>
    <xf numFmtId="165" fontId="23" fillId="0" borderId="10" xfId="44" applyNumberFormat="1" applyFont="1" applyBorder="1"/>
    <xf numFmtId="164" fontId="23" fillId="0" borderId="10" xfId="44" applyNumberFormat="1" applyFont="1" applyBorder="1"/>
    <xf numFmtId="4" fontId="23" fillId="0" borderId="10" xfId="44" applyNumberFormat="1" applyFont="1" applyBorder="1"/>
    <xf numFmtId="43" fontId="19" fillId="0" borderId="10" xfId="44" applyFont="1" applyBorder="1"/>
    <xf numFmtId="166" fontId="19" fillId="0" borderId="11" xfId="43" applyNumberFormat="1" applyFont="1" applyBorder="1"/>
    <xf numFmtId="166" fontId="19" fillId="0" borderId="10" xfId="43" applyNumberFormat="1" applyFont="1" applyBorder="1"/>
    <xf numFmtId="0" fontId="23" fillId="0" borderId="12" xfId="43" applyFont="1" applyBorder="1"/>
    <xf numFmtId="0" fontId="27" fillId="0" borderId="0" xfId="43" applyFont="1"/>
    <xf numFmtId="0" fontId="27" fillId="0" borderId="10" xfId="0" applyFont="1" applyBorder="1"/>
    <xf numFmtId="0" fontId="19" fillId="0" borderId="10" xfId="0" applyFont="1" applyBorder="1"/>
    <xf numFmtId="43" fontId="19" fillId="0" borderId="10" xfId="43" applyNumberFormat="1" applyFont="1" applyBorder="1"/>
    <xf numFmtId="43" fontId="19" fillId="0" borderId="11" xfId="42" applyFont="1" applyBorder="1"/>
    <xf numFmtId="43" fontId="19" fillId="0" borderId="10" xfId="42" applyFont="1" applyBorder="1"/>
    <xf numFmtId="43" fontId="19" fillId="0" borderId="12" xfId="42" applyFont="1" applyBorder="1"/>
    <xf numFmtId="0" fontId="19" fillId="38" borderId="0" xfId="43" applyFont="1" applyFill="1"/>
    <xf numFmtId="4" fontId="19" fillId="38" borderId="0" xfId="44" applyNumberFormat="1" applyFont="1" applyFill="1"/>
    <xf numFmtId="37" fontId="19" fillId="38" borderId="0" xfId="44" applyNumberFormat="1" applyFont="1" applyFill="1"/>
    <xf numFmtId="4" fontId="19" fillId="38" borderId="0" xfId="43" applyNumberFormat="1" applyFont="1" applyFill="1"/>
    <xf numFmtId="164" fontId="19" fillId="38" borderId="0" xfId="44" applyNumberFormat="1" applyFont="1" applyFill="1"/>
    <xf numFmtId="0" fontId="19" fillId="0" borderId="24" xfId="43" applyFont="1" applyBorder="1"/>
    <xf numFmtId="39" fontId="19" fillId="0" borderId="24" xfId="44" applyNumberFormat="1" applyFont="1" applyBorder="1"/>
    <xf numFmtId="164" fontId="19" fillId="0" borderId="24" xfId="44" applyNumberFormat="1" applyFont="1" applyBorder="1"/>
    <xf numFmtId="4" fontId="19" fillId="0" borderId="24" xfId="43" applyNumberFormat="1" applyFont="1" applyBorder="1"/>
    <xf numFmtId="164" fontId="19" fillId="0" borderId="25" xfId="44" applyNumberFormat="1" applyFont="1" applyBorder="1"/>
    <xf numFmtId="0" fontId="18" fillId="0" borderId="0" xfId="43"/>
    <xf numFmtId="0" fontId="19" fillId="0" borderId="0" xfId="43" applyFont="1" applyAlignment="1">
      <alignment horizontal="center" wrapText="1"/>
    </xf>
    <xf numFmtId="4" fontId="19" fillId="0" borderId="0" xfId="43" applyNumberFormat="1" applyFont="1" applyAlignment="1">
      <alignment horizontal="center" wrapText="1"/>
    </xf>
    <xf numFmtId="4" fontId="19" fillId="0" borderId="0" xfId="43" applyNumberFormat="1" applyFont="1"/>
    <xf numFmtId="0" fontId="23" fillId="33" borderId="10" xfId="43" applyFont="1" applyFill="1" applyBorder="1" applyAlignment="1">
      <alignment horizontal="center" vertical="center" wrapText="1"/>
    </xf>
    <xf numFmtId="0" fontId="23" fillId="33" borderId="12" xfId="43" applyFont="1" applyFill="1" applyBorder="1" applyAlignment="1">
      <alignment horizontal="center" vertical="center" wrapText="1"/>
    </xf>
    <xf numFmtId="0" fontId="20" fillId="33" borderId="13" xfId="43" applyFont="1" applyFill="1" applyBorder="1" applyAlignment="1">
      <alignment horizontal="center" vertical="center" wrapText="1"/>
    </xf>
    <xf numFmtId="0" fontId="20" fillId="33" borderId="14" xfId="43" applyFont="1" applyFill="1" applyBorder="1" applyAlignment="1">
      <alignment horizontal="center" vertical="center" wrapText="1"/>
    </xf>
    <xf numFmtId="0" fontId="20" fillId="33" borderId="11" xfId="43" applyFont="1" applyFill="1" applyBorder="1" applyAlignment="1">
      <alignment horizontal="center" vertical="center" wrapText="1"/>
    </xf>
    <xf numFmtId="0" fontId="20" fillId="33" borderId="17" xfId="43" applyFont="1" applyFill="1" applyBorder="1" applyAlignment="1">
      <alignment horizontal="center" vertical="center" wrapText="1"/>
    </xf>
    <xf numFmtId="0" fontId="21" fillId="33" borderId="15" xfId="43" quotePrefix="1" applyFont="1" applyFill="1" applyBorder="1" applyAlignment="1">
      <alignment horizontal="center" vertical="center"/>
    </xf>
    <xf numFmtId="0" fontId="21" fillId="33" borderId="16" xfId="43" quotePrefix="1" applyFont="1" applyFill="1" applyBorder="1" applyAlignment="1">
      <alignment horizontal="center" vertical="center"/>
    </xf>
    <xf numFmtId="0" fontId="22" fillId="33" borderId="13" xfId="43" applyFont="1" applyFill="1" applyBorder="1" applyAlignment="1">
      <alignment horizontal="center"/>
    </xf>
    <xf numFmtId="0" fontId="22" fillId="33" borderId="15" xfId="43" applyFont="1" applyFill="1" applyBorder="1" applyAlignment="1">
      <alignment horizontal="center"/>
    </xf>
    <xf numFmtId="0" fontId="22" fillId="33" borderId="16" xfId="43" applyFont="1" applyFill="1" applyBorder="1" applyAlignment="1">
      <alignment horizontal="center"/>
    </xf>
    <xf numFmtId="4" fontId="23" fillId="34" borderId="10" xfId="43" applyNumberFormat="1" applyFont="1" applyFill="1" applyBorder="1" applyAlignment="1">
      <alignment horizontal="center" vertical="center" wrapText="1"/>
    </xf>
    <xf numFmtId="0" fontId="24" fillId="35" borderId="17" xfId="43" applyFont="1" applyFill="1" applyBorder="1" applyAlignment="1">
      <alignment horizontal="center" vertical="center" wrapText="1"/>
    </xf>
    <xf numFmtId="0" fontId="24" fillId="35" borderId="18" xfId="43" applyFont="1" applyFill="1" applyBorder="1" applyAlignment="1">
      <alignment horizontal="center" vertical="center" wrapText="1"/>
    </xf>
    <xf numFmtId="0" fontId="23" fillId="36" borderId="19" xfId="43" applyFont="1" applyFill="1" applyBorder="1" applyAlignment="1">
      <alignment horizontal="center" vertical="center" wrapText="1"/>
    </xf>
    <xf numFmtId="0" fontId="23" fillId="36" borderId="18" xfId="43" applyFont="1" applyFill="1" applyBorder="1" applyAlignment="1">
      <alignment horizontal="center" vertical="center" wrapText="1"/>
    </xf>
    <xf numFmtId="0" fontId="23" fillId="37" borderId="19" xfId="43" applyFont="1" applyFill="1" applyBorder="1" applyAlignment="1">
      <alignment horizontal="center" vertical="center" wrapText="1"/>
    </xf>
    <xf numFmtId="0" fontId="23" fillId="37" borderId="18" xfId="43" applyFont="1" applyFill="1" applyBorder="1" applyAlignment="1">
      <alignment horizontal="center" vertical="center" wrapText="1"/>
    </xf>
    <xf numFmtId="0" fontId="23" fillId="33" borderId="20" xfId="43" applyFont="1" applyFill="1" applyBorder="1" applyAlignment="1">
      <alignment horizontal="center" vertical="center" wrapText="1"/>
    </xf>
    <xf numFmtId="0" fontId="23" fillId="33" borderId="21" xfId="43" applyFont="1" applyFill="1" applyBorder="1" applyAlignment="1">
      <alignment horizontal="center" vertical="center" wrapText="1"/>
    </xf>
    <xf numFmtId="0" fontId="23" fillId="33" borderId="22" xfId="43" applyFont="1" applyFill="1" applyBorder="1" applyAlignment="1">
      <alignment horizontal="center" vertical="center" wrapText="1"/>
    </xf>
    <xf numFmtId="0" fontId="23" fillId="33" borderId="11" xfId="43" applyFont="1" applyFill="1" applyBorder="1" applyAlignment="1">
      <alignment horizontal="center" vertical="center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omma 2" xfId="44" xr:uid="{DCF2EF5A-0573-478C-9D42-EC41D7194F8A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2" xfId="43" xr:uid="{62BE8344-E0D5-440B-9946-8074DF46AC4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3946-6D9D-4F5B-847C-4DDECEF293E8}">
  <dimension ref="A1:T269"/>
  <sheetViews>
    <sheetView showGridLines="0" tabSelected="1" topLeftCell="D1" zoomScaleNormal="100" workbookViewId="0">
      <selection activeCell="K258" sqref="K258"/>
    </sheetView>
  </sheetViews>
  <sheetFormatPr defaultColWidth="11.42578125" defaultRowHeight="12.75" x14ac:dyDescent="0.2"/>
  <cols>
    <col min="1" max="1" width="12.140625" style="2" hidden="1" customWidth="1"/>
    <col min="2" max="2" width="5.140625" style="2" hidden="1" customWidth="1"/>
    <col min="3" max="3" width="7.28515625" style="2" hidden="1" customWidth="1"/>
    <col min="4" max="4" width="7.28515625" style="2" customWidth="1"/>
    <col min="5" max="5" width="8.28515625" style="2" customWidth="1"/>
    <col min="6" max="6" width="23.42578125" style="2" customWidth="1"/>
    <col min="7" max="7" width="14.5703125" style="2" bestFit="1" customWidth="1"/>
    <col min="8" max="8" width="15.140625" style="2" customWidth="1"/>
    <col min="9" max="9" width="15.28515625" style="2" customWidth="1"/>
    <col min="10" max="10" width="18" style="2" bestFit="1" customWidth="1"/>
    <col min="11" max="11" width="14.28515625" style="2" customWidth="1"/>
    <col min="12" max="12" width="18" style="2" bestFit="1" customWidth="1"/>
    <col min="13" max="13" width="12.28515625" style="63" customWidth="1"/>
    <col min="14" max="14" width="14.7109375" style="2" bestFit="1" customWidth="1"/>
    <col min="15" max="15" width="14.42578125" style="2" customWidth="1"/>
    <col min="16" max="16" width="3" style="2" customWidth="1"/>
    <col min="17" max="17" width="13.85546875" style="2" customWidth="1"/>
    <col min="18" max="19" width="16" style="2" customWidth="1"/>
    <col min="20" max="20" width="14.28515625" style="2" customWidth="1"/>
    <col min="21" max="16384" width="11.42578125" style="2"/>
  </cols>
  <sheetData>
    <row r="1" spans="1:20" ht="17.649999999999999" customHeight="1" thickBot="1" x14ac:dyDescent="0.25">
      <c r="A1" s="1"/>
      <c r="B1" s="1"/>
      <c r="C1" s="1"/>
      <c r="D1" s="1"/>
      <c r="M1" s="2"/>
    </row>
    <row r="2" spans="1:20" ht="24.75" customHeight="1" x14ac:dyDescent="0.25">
      <c r="E2" s="66" t="s">
        <v>1</v>
      </c>
      <c r="F2" s="67"/>
      <c r="G2" s="70" t="s">
        <v>2</v>
      </c>
      <c r="H2" s="70"/>
      <c r="I2" s="70"/>
      <c r="J2" s="70"/>
      <c r="K2" s="70"/>
      <c r="L2" s="70"/>
      <c r="M2" s="70"/>
      <c r="N2" s="70"/>
      <c r="O2" s="71"/>
      <c r="Q2" s="72" t="s">
        <v>3</v>
      </c>
      <c r="R2" s="73"/>
      <c r="S2" s="73"/>
      <c r="T2" s="74"/>
    </row>
    <row r="3" spans="1:20" ht="31.5" customHeight="1" x14ac:dyDescent="0.2">
      <c r="E3" s="68"/>
      <c r="F3" s="69"/>
      <c r="G3" s="75" t="s">
        <v>4</v>
      </c>
      <c r="H3" s="75"/>
      <c r="I3" s="76" t="s">
        <v>5</v>
      </c>
      <c r="J3" s="77"/>
      <c r="K3" s="78" t="s">
        <v>6</v>
      </c>
      <c r="L3" s="79"/>
      <c r="M3" s="80" t="s">
        <v>7</v>
      </c>
      <c r="N3" s="81"/>
      <c r="O3" s="82" t="s">
        <v>8</v>
      </c>
      <c r="Q3" s="85" t="s">
        <v>9</v>
      </c>
      <c r="R3" s="64" t="s">
        <v>10</v>
      </c>
      <c r="S3" s="64" t="s">
        <v>11</v>
      </c>
      <c r="T3" s="65" t="s">
        <v>12</v>
      </c>
    </row>
    <row r="4" spans="1:20" ht="114.75" x14ac:dyDescent="0.2">
      <c r="A4" s="3"/>
      <c r="B4" s="3" t="s">
        <v>13</v>
      </c>
      <c r="E4" s="68"/>
      <c r="F4" s="69"/>
      <c r="G4" s="4" t="s">
        <v>14</v>
      </c>
      <c r="H4" s="5" t="s">
        <v>15</v>
      </c>
      <c r="I4" s="6" t="s">
        <v>16</v>
      </c>
      <c r="J4" s="7" t="s">
        <v>17</v>
      </c>
      <c r="K4" s="8" t="s">
        <v>18</v>
      </c>
      <c r="L4" s="9" t="s">
        <v>19</v>
      </c>
      <c r="M4" s="10" t="s">
        <v>20</v>
      </c>
      <c r="N4" s="11" t="s">
        <v>21</v>
      </c>
      <c r="O4" s="83"/>
      <c r="Q4" s="85"/>
      <c r="R4" s="64"/>
      <c r="S4" s="64"/>
      <c r="T4" s="65"/>
    </row>
    <row r="5" spans="1:20" ht="12.75" customHeight="1" x14ac:dyDescent="0.2">
      <c r="E5" s="68"/>
      <c r="F5" s="69"/>
      <c r="G5" s="12" t="s">
        <v>22</v>
      </c>
      <c r="H5" s="13">
        <v>4265.6400000000003</v>
      </c>
      <c r="I5" s="14" t="s">
        <v>22</v>
      </c>
      <c r="J5" s="15">
        <v>2392.92</v>
      </c>
      <c r="K5" s="16" t="s">
        <v>22</v>
      </c>
      <c r="L5" s="17">
        <v>2184.84</v>
      </c>
      <c r="M5" s="18" t="s">
        <v>22</v>
      </c>
      <c r="N5" s="19">
        <v>832.32</v>
      </c>
      <c r="O5" s="84"/>
      <c r="Q5" s="85"/>
      <c r="R5" s="64"/>
      <c r="S5" s="64"/>
      <c r="T5" s="65"/>
    </row>
    <row r="6" spans="1:20" s="21" customFormat="1" x14ac:dyDescent="0.2">
      <c r="E6" s="22" t="s">
        <v>23</v>
      </c>
      <c r="F6" s="23" t="s">
        <v>0</v>
      </c>
      <c r="G6" s="24">
        <v>10636</v>
      </c>
      <c r="H6" s="25">
        <v>45369347.040000007</v>
      </c>
      <c r="I6" s="26">
        <v>2103</v>
      </c>
      <c r="J6" s="27">
        <v>5032310.7599999923</v>
      </c>
      <c r="K6" s="28">
        <v>933</v>
      </c>
      <c r="L6" s="29">
        <v>2038455.7200000023</v>
      </c>
      <c r="M6" s="30">
        <v>17</v>
      </c>
      <c r="N6" s="31">
        <v>14149.44</v>
      </c>
      <c r="O6" s="32">
        <v>52454262.960000016</v>
      </c>
      <c r="P6" s="2"/>
      <c r="Q6" s="33">
        <v>9589403.1300000101</v>
      </c>
      <c r="R6" s="33">
        <v>10323924.659999998</v>
      </c>
      <c r="S6" s="34">
        <v>15736264.229999967</v>
      </c>
      <c r="T6" s="32">
        <v>0</v>
      </c>
    </row>
    <row r="7" spans="1:20" s="21" customFormat="1" x14ac:dyDescent="0.2">
      <c r="E7" s="35"/>
      <c r="F7" s="35"/>
      <c r="G7" s="35"/>
      <c r="H7" s="36"/>
      <c r="I7" s="36"/>
      <c r="J7" s="37"/>
      <c r="K7" s="37"/>
      <c r="L7" s="37"/>
      <c r="M7" s="38"/>
      <c r="N7" s="37"/>
      <c r="O7" s="39"/>
      <c r="P7" s="2"/>
      <c r="Q7" s="40"/>
      <c r="R7" s="41"/>
      <c r="S7" s="20"/>
      <c r="T7" s="42"/>
    </row>
    <row r="8" spans="1:20" s="43" customFormat="1" x14ac:dyDescent="0.2">
      <c r="E8" s="44">
        <v>3</v>
      </c>
      <c r="F8" s="45" t="s">
        <v>24</v>
      </c>
      <c r="G8" s="46">
        <v>3</v>
      </c>
      <c r="H8" s="39">
        <v>12796.92</v>
      </c>
      <c r="I8" s="39">
        <v>1</v>
      </c>
      <c r="J8" s="39">
        <v>2392.92</v>
      </c>
      <c r="K8" s="39">
        <v>0</v>
      </c>
      <c r="L8" s="39">
        <v>0</v>
      </c>
      <c r="M8" s="39">
        <v>0</v>
      </c>
      <c r="N8" s="39">
        <v>0</v>
      </c>
      <c r="O8" s="39">
        <v>15189.84</v>
      </c>
      <c r="P8" s="2"/>
      <c r="Q8" s="47">
        <v>2184.84</v>
      </c>
      <c r="R8" s="48">
        <v>3037.9700000000003</v>
      </c>
      <c r="S8" s="48">
        <v>4556.9500000000007</v>
      </c>
      <c r="T8" s="49"/>
    </row>
    <row r="9" spans="1:20" s="50" customFormat="1" x14ac:dyDescent="0.2">
      <c r="A9" s="43">
        <v>5</v>
      </c>
      <c r="B9" s="43" t="s">
        <v>25</v>
      </c>
      <c r="C9" s="43" t="b">
        <f t="shared" ref="C9:C72" si="0">B9=F9</f>
        <v>1</v>
      </c>
      <c r="D9" s="43"/>
      <c r="E9" s="44">
        <v>5</v>
      </c>
      <c r="F9" s="45" t="s">
        <v>25</v>
      </c>
      <c r="G9" s="46">
        <v>4</v>
      </c>
      <c r="H9" s="39">
        <v>17062.560000000001</v>
      </c>
      <c r="I9" s="39">
        <v>1</v>
      </c>
      <c r="J9" s="39">
        <v>2392.92</v>
      </c>
      <c r="K9" s="39">
        <v>0</v>
      </c>
      <c r="L9" s="39">
        <v>0</v>
      </c>
      <c r="M9" s="39">
        <v>0</v>
      </c>
      <c r="N9" s="39">
        <v>0</v>
      </c>
      <c r="O9" s="39">
        <v>19455.480000000003</v>
      </c>
      <c r="P9" s="2"/>
      <c r="Q9" s="47">
        <v>3037.9700000000003</v>
      </c>
      <c r="R9" s="48">
        <v>3891.1</v>
      </c>
      <c r="S9" s="48">
        <v>5836.64</v>
      </c>
      <c r="T9" s="49"/>
    </row>
    <row r="10" spans="1:20" s="50" customFormat="1" x14ac:dyDescent="0.2">
      <c r="A10" s="43">
        <v>7</v>
      </c>
      <c r="B10" s="43" t="s">
        <v>26</v>
      </c>
      <c r="C10" s="43" t="b">
        <f t="shared" si="0"/>
        <v>1</v>
      </c>
      <c r="D10" s="43"/>
      <c r="E10" s="44">
        <v>7</v>
      </c>
      <c r="F10" s="45" t="s">
        <v>26</v>
      </c>
      <c r="G10" s="46">
        <v>18</v>
      </c>
      <c r="H10" s="39">
        <v>76781.52</v>
      </c>
      <c r="I10" s="39">
        <v>8</v>
      </c>
      <c r="J10" s="39">
        <v>19143.36</v>
      </c>
      <c r="K10" s="39">
        <v>2</v>
      </c>
      <c r="L10" s="39">
        <v>4369.68</v>
      </c>
      <c r="M10" s="39">
        <v>0</v>
      </c>
      <c r="N10" s="39">
        <v>0</v>
      </c>
      <c r="O10" s="39">
        <v>100294.56</v>
      </c>
      <c r="P10" s="2"/>
      <c r="Q10" s="47">
        <v>19205.789999999997</v>
      </c>
      <c r="R10" s="48">
        <v>19205.789999999997</v>
      </c>
      <c r="S10" s="48">
        <v>30088.359999999993</v>
      </c>
      <c r="T10" s="49"/>
    </row>
    <row r="11" spans="1:20" s="50" customFormat="1" x14ac:dyDescent="0.2">
      <c r="A11" s="43">
        <v>9</v>
      </c>
      <c r="B11" s="43" t="s">
        <v>27</v>
      </c>
      <c r="C11" s="43" t="b">
        <f t="shared" si="0"/>
        <v>1</v>
      </c>
      <c r="D11" s="43"/>
      <c r="E11" s="44">
        <v>9</v>
      </c>
      <c r="F11" s="45" t="s">
        <v>27</v>
      </c>
      <c r="G11" s="46">
        <v>34</v>
      </c>
      <c r="H11" s="39">
        <v>145031.76</v>
      </c>
      <c r="I11" s="39">
        <v>12</v>
      </c>
      <c r="J11" s="39">
        <v>28715.040000000001</v>
      </c>
      <c r="K11" s="39">
        <v>5</v>
      </c>
      <c r="L11" s="39">
        <v>10924.2</v>
      </c>
      <c r="M11" s="39">
        <v>0</v>
      </c>
      <c r="N11" s="39">
        <v>0</v>
      </c>
      <c r="O11" s="39">
        <v>184671.00000000003</v>
      </c>
      <c r="P11" s="2"/>
      <c r="Q11" s="47">
        <v>31170.420000000009</v>
      </c>
      <c r="R11" s="48">
        <v>34312.420000000006</v>
      </c>
      <c r="S11" s="48">
        <v>55401.270000000019</v>
      </c>
      <c r="T11" s="49"/>
    </row>
    <row r="12" spans="1:20" s="50" customFormat="1" x14ac:dyDescent="0.2">
      <c r="A12" s="43">
        <v>11</v>
      </c>
      <c r="B12" s="43" t="s">
        <v>28</v>
      </c>
      <c r="C12" s="43" t="b">
        <f t="shared" si="0"/>
        <v>1</v>
      </c>
      <c r="D12" s="43"/>
      <c r="E12" s="44">
        <v>11</v>
      </c>
      <c r="F12" s="45" t="s">
        <v>28</v>
      </c>
      <c r="G12" s="46">
        <v>14</v>
      </c>
      <c r="H12" s="39">
        <v>59718.96</v>
      </c>
      <c r="I12" s="39">
        <v>3</v>
      </c>
      <c r="J12" s="39">
        <v>7178.76</v>
      </c>
      <c r="K12" s="39">
        <v>0</v>
      </c>
      <c r="L12" s="39">
        <v>0</v>
      </c>
      <c r="M12" s="39">
        <v>0</v>
      </c>
      <c r="N12" s="39">
        <v>0</v>
      </c>
      <c r="O12" s="39">
        <v>66897.72</v>
      </c>
      <c r="P12" s="2"/>
      <c r="Q12" s="47">
        <v>11943.819999999996</v>
      </c>
      <c r="R12" s="48">
        <v>13379.559999999996</v>
      </c>
      <c r="S12" s="48">
        <v>20069.3</v>
      </c>
      <c r="T12" s="49"/>
    </row>
    <row r="13" spans="1:20" s="50" customFormat="1" x14ac:dyDescent="0.2">
      <c r="A13" s="43">
        <v>15</v>
      </c>
      <c r="B13" s="43" t="s">
        <v>29</v>
      </c>
      <c r="C13" s="43" t="b">
        <f t="shared" si="0"/>
        <v>1</v>
      </c>
      <c r="D13" s="43"/>
      <c r="E13" s="44">
        <v>15</v>
      </c>
      <c r="F13" s="45" t="s">
        <v>29</v>
      </c>
      <c r="G13" s="46">
        <v>59</v>
      </c>
      <c r="H13" s="39">
        <v>251672.76</v>
      </c>
      <c r="I13" s="39">
        <v>17</v>
      </c>
      <c r="J13" s="39">
        <v>40679.64</v>
      </c>
      <c r="K13" s="39">
        <v>5</v>
      </c>
      <c r="L13" s="39">
        <v>10924.2</v>
      </c>
      <c r="M13" s="39">
        <v>0</v>
      </c>
      <c r="N13" s="39">
        <v>0</v>
      </c>
      <c r="O13" s="39">
        <v>303276.60000000003</v>
      </c>
      <c r="P13" s="2"/>
      <c r="Q13" s="47">
        <v>43592.859999999979</v>
      </c>
      <c r="R13" s="48">
        <v>61945.47999999993</v>
      </c>
      <c r="S13" s="48">
        <v>90982.920000000086</v>
      </c>
      <c r="T13" s="49"/>
    </row>
    <row r="14" spans="1:20" s="50" customFormat="1" x14ac:dyDescent="0.2">
      <c r="A14" s="43">
        <v>17</v>
      </c>
      <c r="B14" s="43" t="s">
        <v>30</v>
      </c>
      <c r="C14" s="43" t="b">
        <f t="shared" si="0"/>
        <v>1</v>
      </c>
      <c r="D14" s="43"/>
      <c r="E14" s="44">
        <v>17</v>
      </c>
      <c r="F14" s="45" t="s">
        <v>30</v>
      </c>
      <c r="G14" s="46">
        <v>101</v>
      </c>
      <c r="H14" s="39">
        <v>430829.64</v>
      </c>
      <c r="I14" s="39">
        <v>2</v>
      </c>
      <c r="J14" s="39">
        <v>4785.84</v>
      </c>
      <c r="K14" s="39">
        <v>13</v>
      </c>
      <c r="L14" s="39">
        <v>28402.92</v>
      </c>
      <c r="M14" s="39">
        <v>0</v>
      </c>
      <c r="N14" s="39">
        <v>0</v>
      </c>
      <c r="O14" s="39">
        <v>464018.4</v>
      </c>
      <c r="P14" s="2"/>
      <c r="Q14" s="47">
        <v>92366.930000000066</v>
      </c>
      <c r="R14" s="48">
        <v>93657.030000000072</v>
      </c>
      <c r="S14" s="48">
        <v>139205.30000000013</v>
      </c>
      <c r="T14" s="49"/>
    </row>
    <row r="15" spans="1:20" s="50" customFormat="1" x14ac:dyDescent="0.2">
      <c r="A15" s="43">
        <v>19</v>
      </c>
      <c r="B15" s="43" t="s">
        <v>31</v>
      </c>
      <c r="C15" s="43" t="b">
        <f t="shared" si="0"/>
        <v>1</v>
      </c>
      <c r="D15" s="43"/>
      <c r="E15" s="44">
        <v>19</v>
      </c>
      <c r="F15" s="45" t="s">
        <v>31</v>
      </c>
      <c r="G15" s="46">
        <v>21</v>
      </c>
      <c r="H15" s="39">
        <v>89578.44</v>
      </c>
      <c r="I15" s="39">
        <v>4</v>
      </c>
      <c r="J15" s="39">
        <v>9571.68</v>
      </c>
      <c r="K15" s="39">
        <v>1</v>
      </c>
      <c r="L15" s="39">
        <v>2184.84</v>
      </c>
      <c r="M15" s="39">
        <v>0</v>
      </c>
      <c r="N15" s="39">
        <v>0</v>
      </c>
      <c r="O15" s="39">
        <v>101334.95999999999</v>
      </c>
      <c r="P15" s="2"/>
      <c r="Q15" s="47">
        <v>16854.499999999996</v>
      </c>
      <c r="R15" s="48">
        <v>21973.279999999999</v>
      </c>
      <c r="S15" s="48">
        <v>30400.459999999988</v>
      </c>
      <c r="T15" s="49"/>
    </row>
    <row r="16" spans="1:20" s="50" customFormat="1" x14ac:dyDescent="0.2">
      <c r="A16" s="43">
        <v>21</v>
      </c>
      <c r="B16" s="43" t="s">
        <v>32</v>
      </c>
      <c r="C16" s="43" t="b">
        <f t="shared" si="0"/>
        <v>1</v>
      </c>
      <c r="D16" s="43"/>
      <c r="E16" s="44">
        <v>21</v>
      </c>
      <c r="F16" s="45" t="s">
        <v>32</v>
      </c>
      <c r="G16" s="46">
        <v>46</v>
      </c>
      <c r="H16" s="39">
        <v>196219.44</v>
      </c>
      <c r="I16" s="39">
        <v>12</v>
      </c>
      <c r="J16" s="39">
        <v>28715.040000000001</v>
      </c>
      <c r="K16" s="39">
        <v>2</v>
      </c>
      <c r="L16" s="39">
        <v>4369.68</v>
      </c>
      <c r="M16" s="39">
        <v>0</v>
      </c>
      <c r="N16" s="39">
        <v>0</v>
      </c>
      <c r="O16" s="39">
        <v>229304.16</v>
      </c>
      <c r="P16" s="2"/>
      <c r="Q16" s="47">
        <v>38557.259999999995</v>
      </c>
      <c r="R16" s="48">
        <v>43301.490000000005</v>
      </c>
      <c r="S16" s="48">
        <v>68791.200000000026</v>
      </c>
      <c r="T16" s="49"/>
    </row>
    <row r="17" spans="1:20" s="50" customFormat="1" x14ac:dyDescent="0.2">
      <c r="A17" s="43">
        <v>23</v>
      </c>
      <c r="B17" s="43" t="s">
        <v>33</v>
      </c>
      <c r="C17" s="43" t="b">
        <f t="shared" si="0"/>
        <v>1</v>
      </c>
      <c r="D17" s="43"/>
      <c r="E17" s="44">
        <v>23</v>
      </c>
      <c r="F17" s="45" t="s">
        <v>33</v>
      </c>
      <c r="G17" s="46">
        <v>17</v>
      </c>
      <c r="H17" s="39">
        <v>72515.88</v>
      </c>
      <c r="I17" s="39">
        <v>6</v>
      </c>
      <c r="J17" s="39">
        <v>14357.52</v>
      </c>
      <c r="K17" s="39">
        <v>1</v>
      </c>
      <c r="L17" s="39">
        <v>2184.84</v>
      </c>
      <c r="M17" s="39">
        <v>0</v>
      </c>
      <c r="N17" s="39">
        <v>0</v>
      </c>
      <c r="O17" s="39">
        <v>89058.240000000005</v>
      </c>
      <c r="P17" s="2"/>
      <c r="Q17" s="47">
        <v>13233.919999999996</v>
      </c>
      <c r="R17" s="48">
        <v>17811.659999999996</v>
      </c>
      <c r="S17" s="48">
        <v>26717.459999999995</v>
      </c>
      <c r="T17" s="49"/>
    </row>
    <row r="18" spans="1:20" s="50" customFormat="1" x14ac:dyDescent="0.2">
      <c r="A18" s="43">
        <v>27</v>
      </c>
      <c r="B18" s="43" t="s">
        <v>34</v>
      </c>
      <c r="C18" s="43" t="b">
        <f t="shared" si="0"/>
        <v>1</v>
      </c>
      <c r="D18" s="43"/>
      <c r="E18" s="44">
        <v>27</v>
      </c>
      <c r="F18" s="45" t="s">
        <v>34</v>
      </c>
      <c r="G18" s="46">
        <v>29</v>
      </c>
      <c r="H18" s="39">
        <v>123703.56</v>
      </c>
      <c r="I18" s="39">
        <v>4</v>
      </c>
      <c r="J18" s="39">
        <v>9571.68</v>
      </c>
      <c r="K18" s="39">
        <v>2</v>
      </c>
      <c r="L18" s="39">
        <v>4369.68</v>
      </c>
      <c r="M18" s="39">
        <v>0</v>
      </c>
      <c r="N18" s="39">
        <v>0</v>
      </c>
      <c r="O18" s="39">
        <v>137644.91999999998</v>
      </c>
      <c r="P18" s="2"/>
      <c r="Q18" s="47">
        <v>21765.22</v>
      </c>
      <c r="R18" s="48">
        <v>27529.03000000001</v>
      </c>
      <c r="S18" s="48">
        <v>41293.430000000008</v>
      </c>
      <c r="T18" s="49"/>
    </row>
    <row r="19" spans="1:20" s="50" customFormat="1" x14ac:dyDescent="0.2">
      <c r="A19" s="43">
        <v>29</v>
      </c>
      <c r="B19" s="43" t="s">
        <v>35</v>
      </c>
      <c r="C19" s="43" t="b">
        <f t="shared" si="0"/>
        <v>1</v>
      </c>
      <c r="D19" s="43"/>
      <c r="E19" s="44">
        <v>29</v>
      </c>
      <c r="F19" s="45" t="s">
        <v>35</v>
      </c>
      <c r="G19" s="46">
        <v>32</v>
      </c>
      <c r="H19" s="39">
        <v>136500.48000000001</v>
      </c>
      <c r="I19" s="39">
        <v>2</v>
      </c>
      <c r="J19" s="39">
        <v>4785.84</v>
      </c>
      <c r="K19" s="39">
        <v>6</v>
      </c>
      <c r="L19" s="39">
        <v>13109.04</v>
      </c>
      <c r="M19" s="39">
        <v>2</v>
      </c>
      <c r="N19" s="39">
        <v>1664.64</v>
      </c>
      <c r="O19" s="39">
        <v>156060.00000000003</v>
      </c>
      <c r="P19" s="2"/>
      <c r="Q19" s="47">
        <v>25260.970000000005</v>
      </c>
      <c r="R19" s="48">
        <v>30733.48000000001</v>
      </c>
      <c r="S19" s="48">
        <v>46817.94</v>
      </c>
      <c r="T19" s="49"/>
    </row>
    <row r="20" spans="1:20" s="50" customFormat="1" x14ac:dyDescent="0.2">
      <c r="A20" s="43">
        <v>31</v>
      </c>
      <c r="B20" s="43" t="s">
        <v>36</v>
      </c>
      <c r="C20" s="43" t="b">
        <f t="shared" si="0"/>
        <v>1</v>
      </c>
      <c r="D20" s="43"/>
      <c r="E20" s="44">
        <v>31</v>
      </c>
      <c r="F20" s="45" t="s">
        <v>36</v>
      </c>
      <c r="G20" s="46">
        <v>51</v>
      </c>
      <c r="H20" s="39">
        <v>217547.64</v>
      </c>
      <c r="I20" s="39">
        <v>17</v>
      </c>
      <c r="J20" s="39">
        <v>40679.64</v>
      </c>
      <c r="K20" s="39">
        <v>2</v>
      </c>
      <c r="L20" s="39">
        <v>4369.68</v>
      </c>
      <c r="M20" s="39">
        <v>0</v>
      </c>
      <c r="N20" s="39">
        <v>0</v>
      </c>
      <c r="O20" s="39">
        <v>262596.96000000002</v>
      </c>
      <c r="P20" s="2"/>
      <c r="Q20" s="47">
        <v>43884.099999999984</v>
      </c>
      <c r="R20" s="48">
        <v>50230.559999999954</v>
      </c>
      <c r="S20" s="48">
        <v>78779.050000000061</v>
      </c>
      <c r="T20" s="49"/>
    </row>
    <row r="21" spans="1:20" s="50" customFormat="1" x14ac:dyDescent="0.2">
      <c r="A21" s="43">
        <v>33</v>
      </c>
      <c r="B21" s="43" t="s">
        <v>37</v>
      </c>
      <c r="C21" s="43" t="b">
        <f t="shared" si="0"/>
        <v>1</v>
      </c>
      <c r="D21" s="43"/>
      <c r="E21" s="44">
        <v>33</v>
      </c>
      <c r="F21" s="45" t="s">
        <v>37</v>
      </c>
      <c r="G21" s="46">
        <v>83</v>
      </c>
      <c r="H21" s="39">
        <v>354048.12</v>
      </c>
      <c r="I21" s="39">
        <v>11</v>
      </c>
      <c r="J21" s="39">
        <v>26322.12</v>
      </c>
      <c r="K21" s="39">
        <v>11</v>
      </c>
      <c r="L21" s="39">
        <v>24033.24</v>
      </c>
      <c r="M21" s="39">
        <v>0</v>
      </c>
      <c r="N21" s="39">
        <v>0</v>
      </c>
      <c r="O21" s="39">
        <v>404403.48</v>
      </c>
      <c r="P21" s="2"/>
      <c r="Q21" s="47">
        <v>80423.06</v>
      </c>
      <c r="R21" s="48">
        <v>82212.55</v>
      </c>
      <c r="S21" s="48">
        <v>121320.90000000014</v>
      </c>
      <c r="T21" s="49"/>
    </row>
    <row r="22" spans="1:20" s="50" customFormat="1" x14ac:dyDescent="0.2">
      <c r="A22" s="43">
        <v>35</v>
      </c>
      <c r="B22" s="43" t="s">
        <v>38</v>
      </c>
      <c r="C22" s="43" t="b">
        <f t="shared" si="0"/>
        <v>1</v>
      </c>
      <c r="D22" s="43"/>
      <c r="E22" s="44">
        <v>35</v>
      </c>
      <c r="F22" s="45" t="s">
        <v>38</v>
      </c>
      <c r="G22" s="46">
        <v>5</v>
      </c>
      <c r="H22" s="39">
        <v>21328.2</v>
      </c>
      <c r="I22" s="39">
        <v>3</v>
      </c>
      <c r="J22" s="39">
        <v>7178.76</v>
      </c>
      <c r="K22" s="39">
        <v>0</v>
      </c>
      <c r="L22" s="39">
        <v>0</v>
      </c>
      <c r="M22" s="39">
        <v>0</v>
      </c>
      <c r="N22" s="39">
        <v>0</v>
      </c>
      <c r="O22" s="39">
        <v>28506.959999999999</v>
      </c>
      <c r="P22" s="2"/>
      <c r="Q22" s="47">
        <v>6408.88</v>
      </c>
      <c r="R22" s="48">
        <v>5701.39</v>
      </c>
      <c r="S22" s="48">
        <v>8552.09</v>
      </c>
      <c r="T22" s="49"/>
    </row>
    <row r="23" spans="1:20" s="50" customFormat="1" x14ac:dyDescent="0.2">
      <c r="A23" s="43">
        <v>39</v>
      </c>
      <c r="B23" s="43" t="s">
        <v>39</v>
      </c>
      <c r="C23" s="43" t="b">
        <f t="shared" si="0"/>
        <v>1</v>
      </c>
      <c r="D23" s="43"/>
      <c r="E23" s="44">
        <v>39</v>
      </c>
      <c r="F23" s="45" t="s">
        <v>39</v>
      </c>
      <c r="G23" s="46">
        <v>6</v>
      </c>
      <c r="H23" s="39">
        <v>25593.84</v>
      </c>
      <c r="I23" s="39">
        <v>1</v>
      </c>
      <c r="J23" s="39">
        <v>2392.92</v>
      </c>
      <c r="K23" s="39">
        <v>0</v>
      </c>
      <c r="L23" s="39">
        <v>0</v>
      </c>
      <c r="M23" s="39">
        <v>0</v>
      </c>
      <c r="N23" s="39">
        <v>0</v>
      </c>
      <c r="O23" s="39">
        <v>27986.760000000002</v>
      </c>
      <c r="P23" s="2"/>
      <c r="Q23" s="47">
        <v>5597.36</v>
      </c>
      <c r="R23" s="48">
        <v>5597.36</v>
      </c>
      <c r="S23" s="48">
        <v>8396.02</v>
      </c>
      <c r="T23" s="49"/>
    </row>
    <row r="24" spans="1:20" s="50" customFormat="1" x14ac:dyDescent="0.2">
      <c r="A24" s="43">
        <v>41</v>
      </c>
      <c r="B24" s="43" t="s">
        <v>40</v>
      </c>
      <c r="C24" s="43" t="b">
        <f t="shared" si="0"/>
        <v>1</v>
      </c>
      <c r="D24" s="43"/>
      <c r="E24" s="44">
        <v>41</v>
      </c>
      <c r="F24" s="45" t="s">
        <v>40</v>
      </c>
      <c r="G24" s="46">
        <v>159</v>
      </c>
      <c r="H24" s="39">
        <v>678236.76</v>
      </c>
      <c r="I24" s="39">
        <v>13</v>
      </c>
      <c r="J24" s="39">
        <v>31107.96</v>
      </c>
      <c r="K24" s="39">
        <v>13</v>
      </c>
      <c r="L24" s="39">
        <v>28402.92</v>
      </c>
      <c r="M24" s="39">
        <v>0</v>
      </c>
      <c r="N24" s="39">
        <v>0</v>
      </c>
      <c r="O24" s="39">
        <v>737747.64</v>
      </c>
      <c r="P24" s="2"/>
      <c r="Q24" s="47">
        <v>137395.52000000028</v>
      </c>
      <c r="R24" s="48">
        <v>141744.40000000031</v>
      </c>
      <c r="S24" s="48">
        <v>221324.00000000035</v>
      </c>
      <c r="T24" s="49"/>
    </row>
    <row r="25" spans="1:20" s="50" customFormat="1" x14ac:dyDescent="0.2">
      <c r="A25" s="43">
        <v>43</v>
      </c>
      <c r="B25" s="43" t="s">
        <v>41</v>
      </c>
      <c r="C25" s="43" t="b">
        <f t="shared" si="0"/>
        <v>1</v>
      </c>
      <c r="D25" s="43"/>
      <c r="E25" s="44">
        <v>43</v>
      </c>
      <c r="F25" s="45" t="s">
        <v>41</v>
      </c>
      <c r="G25" s="46">
        <v>59</v>
      </c>
      <c r="H25" s="39">
        <v>251672.76</v>
      </c>
      <c r="I25" s="39">
        <v>14</v>
      </c>
      <c r="J25" s="39">
        <v>33500.879999999997</v>
      </c>
      <c r="K25" s="39">
        <v>3</v>
      </c>
      <c r="L25" s="39">
        <v>6554.52</v>
      </c>
      <c r="M25" s="39">
        <v>0</v>
      </c>
      <c r="N25" s="39">
        <v>0</v>
      </c>
      <c r="O25" s="39">
        <v>291728.16000000003</v>
      </c>
      <c r="P25" s="2"/>
      <c r="Q25" s="47">
        <v>59573.379999999932</v>
      </c>
      <c r="R25" s="48">
        <v>57867.119999999937</v>
      </c>
      <c r="S25" s="48">
        <v>87518.380000000077</v>
      </c>
      <c r="T25" s="49"/>
    </row>
    <row r="26" spans="1:20" s="50" customFormat="1" x14ac:dyDescent="0.2">
      <c r="A26" s="43">
        <v>45</v>
      </c>
      <c r="B26" s="43" t="s">
        <v>42</v>
      </c>
      <c r="C26" s="43" t="b">
        <f t="shared" si="0"/>
        <v>1</v>
      </c>
      <c r="D26" s="43"/>
      <c r="E26" s="44">
        <v>45</v>
      </c>
      <c r="F26" s="45" t="s">
        <v>42</v>
      </c>
      <c r="G26" s="46">
        <v>15</v>
      </c>
      <c r="H26" s="39">
        <v>63984.6</v>
      </c>
      <c r="I26" s="39">
        <v>5</v>
      </c>
      <c r="J26" s="39">
        <v>11964.6</v>
      </c>
      <c r="K26" s="39">
        <v>1</v>
      </c>
      <c r="L26" s="39">
        <v>2184.84</v>
      </c>
      <c r="M26" s="39">
        <v>0</v>
      </c>
      <c r="N26" s="39">
        <v>0</v>
      </c>
      <c r="O26" s="39">
        <v>78134.039999999994</v>
      </c>
      <c r="P26" s="2"/>
      <c r="Q26" s="47">
        <v>13858.139999999996</v>
      </c>
      <c r="R26" s="48">
        <v>16521.559999999994</v>
      </c>
      <c r="S26" s="48">
        <v>23440.199999999997</v>
      </c>
      <c r="T26" s="49"/>
    </row>
    <row r="27" spans="1:20" s="50" customFormat="1" x14ac:dyDescent="0.2">
      <c r="A27" s="43">
        <v>47</v>
      </c>
      <c r="B27" s="43" t="s">
        <v>43</v>
      </c>
      <c r="C27" s="43" t="b">
        <f t="shared" si="0"/>
        <v>1</v>
      </c>
      <c r="D27" s="43"/>
      <c r="E27" s="44">
        <v>47</v>
      </c>
      <c r="F27" s="45" t="s">
        <v>43</v>
      </c>
      <c r="G27" s="46">
        <v>1</v>
      </c>
      <c r="H27" s="39">
        <v>4265.6400000000003</v>
      </c>
      <c r="I27" s="39"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4265.6400000000003</v>
      </c>
      <c r="P27" s="2"/>
      <c r="Q27" s="47">
        <v>3516.55</v>
      </c>
      <c r="R27" s="48">
        <v>3516.55</v>
      </c>
      <c r="S27" s="48">
        <v>1279.69</v>
      </c>
      <c r="T27" s="49"/>
    </row>
    <row r="28" spans="1:20" s="50" customFormat="1" x14ac:dyDescent="0.2">
      <c r="A28" s="43">
        <v>51</v>
      </c>
      <c r="B28" s="43" t="s">
        <v>44</v>
      </c>
      <c r="C28" s="43" t="b">
        <f t="shared" si="0"/>
        <v>1</v>
      </c>
      <c r="D28" s="43"/>
      <c r="E28" s="44">
        <v>51</v>
      </c>
      <c r="F28" s="45" t="s">
        <v>44</v>
      </c>
      <c r="G28" s="46">
        <v>76</v>
      </c>
      <c r="H28" s="39">
        <v>324188.64</v>
      </c>
      <c r="I28" s="39">
        <v>40</v>
      </c>
      <c r="J28" s="39">
        <v>95716.800000000003</v>
      </c>
      <c r="K28" s="39">
        <v>5</v>
      </c>
      <c r="L28" s="39">
        <v>10924.2</v>
      </c>
      <c r="M28" s="39">
        <v>0</v>
      </c>
      <c r="N28" s="39">
        <v>0</v>
      </c>
      <c r="O28" s="39">
        <v>430829.64</v>
      </c>
      <c r="P28" s="2"/>
      <c r="Q28" s="47">
        <v>82254.070000000036</v>
      </c>
      <c r="R28" s="48">
        <v>87976.220000000074</v>
      </c>
      <c r="S28" s="48">
        <v>129248.89000000017</v>
      </c>
      <c r="T28" s="49"/>
    </row>
    <row r="29" spans="1:20" s="50" customFormat="1" x14ac:dyDescent="0.2">
      <c r="A29" s="43">
        <v>53</v>
      </c>
      <c r="B29" s="43" t="s">
        <v>45</v>
      </c>
      <c r="C29" s="43" t="b">
        <f t="shared" si="0"/>
        <v>1</v>
      </c>
      <c r="D29" s="43"/>
      <c r="E29" s="44">
        <v>53</v>
      </c>
      <c r="F29" s="45" t="s">
        <v>45</v>
      </c>
      <c r="G29" s="46">
        <v>16</v>
      </c>
      <c r="H29" s="39">
        <v>68250.240000000005</v>
      </c>
      <c r="I29" s="39">
        <v>3</v>
      </c>
      <c r="J29" s="39">
        <v>7178.76</v>
      </c>
      <c r="K29" s="39">
        <v>0</v>
      </c>
      <c r="L29" s="39">
        <v>0</v>
      </c>
      <c r="M29" s="39">
        <v>0</v>
      </c>
      <c r="N29" s="39">
        <v>0</v>
      </c>
      <c r="O29" s="39">
        <v>75429</v>
      </c>
      <c r="P29" s="2"/>
      <c r="Q29" s="47">
        <v>12796.949999999995</v>
      </c>
      <c r="R29" s="48">
        <v>12422.399999999998</v>
      </c>
      <c r="S29" s="48">
        <v>22628.68</v>
      </c>
      <c r="T29" s="49"/>
    </row>
    <row r="30" spans="1:20" s="50" customFormat="1" x14ac:dyDescent="0.2">
      <c r="A30" s="43">
        <v>55</v>
      </c>
      <c r="B30" s="43" t="s">
        <v>46</v>
      </c>
      <c r="C30" s="43" t="b">
        <f t="shared" si="0"/>
        <v>1</v>
      </c>
      <c r="D30" s="43"/>
      <c r="E30" s="44">
        <v>55</v>
      </c>
      <c r="F30" s="45" t="s">
        <v>46</v>
      </c>
      <c r="G30" s="46">
        <v>43</v>
      </c>
      <c r="H30" s="39">
        <v>183422.52</v>
      </c>
      <c r="I30" s="39">
        <v>12</v>
      </c>
      <c r="J30" s="39">
        <v>28715.040000000001</v>
      </c>
      <c r="K30" s="39">
        <v>5</v>
      </c>
      <c r="L30" s="39">
        <v>10924.2</v>
      </c>
      <c r="M30" s="39">
        <v>0</v>
      </c>
      <c r="N30" s="39">
        <v>0</v>
      </c>
      <c r="O30" s="39">
        <v>223061.76000000001</v>
      </c>
      <c r="P30" s="2"/>
      <c r="Q30" s="47">
        <v>34541.329999999994</v>
      </c>
      <c r="R30" s="48">
        <v>44612.399999999987</v>
      </c>
      <c r="S30" s="48">
        <v>66918.48000000001</v>
      </c>
      <c r="T30" s="49"/>
    </row>
    <row r="31" spans="1:20" s="50" customFormat="1" x14ac:dyDescent="0.2">
      <c r="A31" s="43">
        <v>57</v>
      </c>
      <c r="B31" s="43" t="s">
        <v>47</v>
      </c>
      <c r="C31" s="43" t="b">
        <f t="shared" si="0"/>
        <v>1</v>
      </c>
      <c r="D31" s="43"/>
      <c r="E31" s="44">
        <v>57</v>
      </c>
      <c r="F31" s="45" t="s">
        <v>47</v>
      </c>
      <c r="G31" s="46">
        <v>76</v>
      </c>
      <c r="H31" s="39">
        <v>324188.64</v>
      </c>
      <c r="I31" s="39">
        <v>5</v>
      </c>
      <c r="J31" s="39">
        <v>11964.6</v>
      </c>
      <c r="K31" s="39">
        <v>6</v>
      </c>
      <c r="L31" s="39">
        <v>13109.04</v>
      </c>
      <c r="M31" s="39">
        <v>0</v>
      </c>
      <c r="N31" s="39">
        <v>0</v>
      </c>
      <c r="O31" s="39">
        <v>349262.27999999997</v>
      </c>
      <c r="P31" s="2"/>
      <c r="Q31" s="47">
        <v>67730.179999999935</v>
      </c>
      <c r="R31" s="48">
        <v>69852.599999999948</v>
      </c>
      <c r="S31" s="48">
        <v>104778.54000000011</v>
      </c>
      <c r="T31" s="49"/>
    </row>
    <row r="32" spans="1:20" s="50" customFormat="1" x14ac:dyDescent="0.2">
      <c r="A32" s="43">
        <v>59</v>
      </c>
      <c r="B32" s="43" t="s">
        <v>48</v>
      </c>
      <c r="C32" s="43" t="b">
        <f t="shared" si="0"/>
        <v>1</v>
      </c>
      <c r="D32" s="43"/>
      <c r="E32" s="44">
        <v>59</v>
      </c>
      <c r="F32" s="45" t="s">
        <v>48</v>
      </c>
      <c r="G32" s="46">
        <v>31</v>
      </c>
      <c r="H32" s="39">
        <v>132234.84</v>
      </c>
      <c r="I32" s="39">
        <v>3</v>
      </c>
      <c r="J32" s="39">
        <v>7178.76</v>
      </c>
      <c r="K32" s="39">
        <v>2</v>
      </c>
      <c r="L32" s="39">
        <v>4369.68</v>
      </c>
      <c r="M32" s="39">
        <v>0</v>
      </c>
      <c r="N32" s="39">
        <v>0</v>
      </c>
      <c r="O32" s="39">
        <v>143783.28</v>
      </c>
      <c r="P32" s="2"/>
      <c r="Q32" s="47">
        <v>25281.77</v>
      </c>
      <c r="R32" s="48">
        <v>27425.000000000004</v>
      </c>
      <c r="S32" s="48">
        <v>43134.930000000008</v>
      </c>
      <c r="T32" s="49"/>
    </row>
    <row r="33" spans="1:20" s="50" customFormat="1" x14ac:dyDescent="0.2">
      <c r="A33" s="43">
        <v>63</v>
      </c>
      <c r="B33" s="43" t="s">
        <v>49</v>
      </c>
      <c r="C33" s="43" t="b">
        <f t="shared" si="0"/>
        <v>1</v>
      </c>
      <c r="D33" s="43"/>
      <c r="E33" s="44">
        <v>63</v>
      </c>
      <c r="F33" s="45" t="s">
        <v>49</v>
      </c>
      <c r="G33" s="46">
        <v>28</v>
      </c>
      <c r="H33" s="39">
        <v>119437.92</v>
      </c>
      <c r="I33" s="39">
        <v>0</v>
      </c>
      <c r="J33" s="39">
        <v>0</v>
      </c>
      <c r="K33" s="39">
        <v>5</v>
      </c>
      <c r="L33" s="39">
        <v>10924.2</v>
      </c>
      <c r="M33" s="39">
        <v>0</v>
      </c>
      <c r="N33" s="39">
        <v>0</v>
      </c>
      <c r="O33" s="39">
        <v>130362.12</v>
      </c>
      <c r="P33" s="2"/>
      <c r="Q33" s="47">
        <v>26072.49</v>
      </c>
      <c r="R33" s="48">
        <v>26072.49</v>
      </c>
      <c r="S33" s="48">
        <v>39108.57</v>
      </c>
      <c r="T33" s="49"/>
    </row>
    <row r="34" spans="1:20" s="50" customFormat="1" x14ac:dyDescent="0.2">
      <c r="A34" s="43">
        <v>65</v>
      </c>
      <c r="B34" s="43" t="s">
        <v>50</v>
      </c>
      <c r="C34" s="43" t="b">
        <f t="shared" si="0"/>
        <v>1</v>
      </c>
      <c r="D34" s="43"/>
      <c r="E34" s="44">
        <v>65</v>
      </c>
      <c r="F34" s="45" t="s">
        <v>50</v>
      </c>
      <c r="G34" s="46">
        <v>3</v>
      </c>
      <c r="H34" s="39">
        <v>12796.92</v>
      </c>
      <c r="I34" s="39">
        <v>0</v>
      </c>
      <c r="J34" s="39">
        <v>0</v>
      </c>
      <c r="K34" s="39">
        <v>0</v>
      </c>
      <c r="L34" s="39">
        <v>0</v>
      </c>
      <c r="M34" s="39">
        <v>0</v>
      </c>
      <c r="N34" s="39">
        <v>0</v>
      </c>
      <c r="O34" s="39">
        <v>12796.92</v>
      </c>
      <c r="P34" s="2"/>
      <c r="Q34" s="47">
        <v>853.13</v>
      </c>
      <c r="R34" s="48">
        <v>2559.39</v>
      </c>
      <c r="S34" s="48">
        <v>3839.07</v>
      </c>
      <c r="T34" s="49"/>
    </row>
    <row r="35" spans="1:20" s="50" customFormat="1" x14ac:dyDescent="0.2">
      <c r="A35" s="43">
        <v>67</v>
      </c>
      <c r="B35" s="43" t="s">
        <v>51</v>
      </c>
      <c r="C35" s="43" t="b">
        <f t="shared" si="0"/>
        <v>1</v>
      </c>
      <c r="D35" s="43"/>
      <c r="E35" s="44">
        <v>67</v>
      </c>
      <c r="F35" s="45" t="s">
        <v>51</v>
      </c>
      <c r="G35" s="46">
        <v>32</v>
      </c>
      <c r="H35" s="39">
        <v>136500.48000000001</v>
      </c>
      <c r="I35" s="39">
        <v>7</v>
      </c>
      <c r="J35" s="39">
        <v>16750.439999999999</v>
      </c>
      <c r="K35" s="39">
        <v>4</v>
      </c>
      <c r="L35" s="39">
        <v>8739.36</v>
      </c>
      <c r="M35" s="39">
        <v>0</v>
      </c>
      <c r="N35" s="39">
        <v>0</v>
      </c>
      <c r="O35" s="39">
        <v>161990.28000000003</v>
      </c>
      <c r="P35" s="2"/>
      <c r="Q35" s="47">
        <v>28985.580000000005</v>
      </c>
      <c r="R35" s="48">
        <v>32398.100000000009</v>
      </c>
      <c r="S35" s="48">
        <v>48597.040000000008</v>
      </c>
      <c r="T35" s="49"/>
    </row>
    <row r="36" spans="1:20" s="50" customFormat="1" x14ac:dyDescent="0.2">
      <c r="A36" s="43">
        <v>69</v>
      </c>
      <c r="B36" s="43" t="s">
        <v>52</v>
      </c>
      <c r="C36" s="43" t="b">
        <f t="shared" si="0"/>
        <v>1</v>
      </c>
      <c r="D36" s="43"/>
      <c r="E36" s="44">
        <v>69</v>
      </c>
      <c r="F36" s="45" t="s">
        <v>52</v>
      </c>
      <c r="G36" s="46">
        <v>8</v>
      </c>
      <c r="H36" s="39">
        <v>34125.120000000003</v>
      </c>
      <c r="I36" s="39">
        <v>5</v>
      </c>
      <c r="J36" s="39">
        <v>11964.6</v>
      </c>
      <c r="K36" s="39">
        <v>1</v>
      </c>
      <c r="L36" s="39">
        <v>2184.84</v>
      </c>
      <c r="M36" s="39">
        <v>0</v>
      </c>
      <c r="N36" s="39">
        <v>0</v>
      </c>
      <c r="O36" s="39">
        <v>48274.559999999998</v>
      </c>
      <c r="P36" s="2"/>
      <c r="Q36" s="47">
        <v>6991.49</v>
      </c>
      <c r="R36" s="48">
        <v>6991.49</v>
      </c>
      <c r="S36" s="48">
        <v>14482.369999999999</v>
      </c>
      <c r="T36" s="49"/>
    </row>
    <row r="37" spans="1:20" s="50" customFormat="1" x14ac:dyDescent="0.2">
      <c r="A37" s="43">
        <v>71</v>
      </c>
      <c r="B37" s="43" t="s">
        <v>53</v>
      </c>
      <c r="C37" s="43" t="b">
        <f t="shared" si="0"/>
        <v>1</v>
      </c>
      <c r="D37" s="43"/>
      <c r="E37" s="44">
        <v>71</v>
      </c>
      <c r="F37" s="45" t="s">
        <v>53</v>
      </c>
      <c r="G37" s="46">
        <v>49</v>
      </c>
      <c r="H37" s="39">
        <v>209016.36</v>
      </c>
      <c r="I37" s="39">
        <v>0</v>
      </c>
      <c r="J37" s="39">
        <v>0</v>
      </c>
      <c r="K37" s="39">
        <v>3</v>
      </c>
      <c r="L37" s="39">
        <v>6554.52</v>
      </c>
      <c r="M37" s="39">
        <v>0</v>
      </c>
      <c r="N37" s="39">
        <v>0</v>
      </c>
      <c r="O37" s="39">
        <v>215570.87999999998</v>
      </c>
      <c r="P37" s="2"/>
      <c r="Q37" s="47">
        <v>41886.599999999984</v>
      </c>
      <c r="R37" s="48">
        <v>43967.409999999974</v>
      </c>
      <c r="S37" s="48">
        <v>64671.160000000047</v>
      </c>
      <c r="T37" s="49"/>
    </row>
    <row r="38" spans="1:20" s="50" customFormat="1" x14ac:dyDescent="0.2">
      <c r="A38" s="43">
        <v>73</v>
      </c>
      <c r="B38" s="43" t="s">
        <v>54</v>
      </c>
      <c r="C38" s="43" t="b">
        <f t="shared" si="0"/>
        <v>1</v>
      </c>
      <c r="D38" s="43"/>
      <c r="E38" s="44">
        <v>73</v>
      </c>
      <c r="F38" s="45" t="s">
        <v>54</v>
      </c>
      <c r="G38" s="46">
        <v>0</v>
      </c>
      <c r="H38" s="39">
        <v>0</v>
      </c>
      <c r="I38" s="39">
        <v>0</v>
      </c>
      <c r="J38" s="39">
        <v>0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2"/>
      <c r="Q38" s="47">
        <v>0</v>
      </c>
      <c r="R38" s="48">
        <v>0</v>
      </c>
      <c r="S38" s="48">
        <v>0</v>
      </c>
      <c r="T38" s="49"/>
    </row>
    <row r="39" spans="1:20" s="50" customFormat="1" x14ac:dyDescent="0.2">
      <c r="A39" s="43">
        <v>75</v>
      </c>
      <c r="B39" s="43" t="s">
        <v>55</v>
      </c>
      <c r="C39" s="43" t="b">
        <f t="shared" si="0"/>
        <v>1</v>
      </c>
      <c r="D39" s="43"/>
      <c r="E39" s="44">
        <v>75</v>
      </c>
      <c r="F39" s="45" t="s">
        <v>55</v>
      </c>
      <c r="G39" s="46">
        <v>21</v>
      </c>
      <c r="H39" s="39">
        <v>89578.44</v>
      </c>
      <c r="I39" s="39">
        <v>10</v>
      </c>
      <c r="J39" s="39">
        <v>23929.200000000001</v>
      </c>
      <c r="K39" s="39">
        <v>1</v>
      </c>
      <c r="L39" s="39">
        <v>2184.84</v>
      </c>
      <c r="M39" s="39">
        <v>0</v>
      </c>
      <c r="N39" s="39">
        <v>0</v>
      </c>
      <c r="O39" s="39">
        <v>115692.48</v>
      </c>
      <c r="P39" s="2"/>
      <c r="Q39" s="47">
        <v>22930.44</v>
      </c>
      <c r="R39" s="48">
        <v>23138.5</v>
      </c>
      <c r="S39" s="48">
        <v>34707.74</v>
      </c>
      <c r="T39" s="49"/>
    </row>
    <row r="40" spans="1:20" s="50" customFormat="1" x14ac:dyDescent="0.2">
      <c r="A40" s="43">
        <v>77</v>
      </c>
      <c r="B40" s="43" t="s">
        <v>56</v>
      </c>
      <c r="C40" s="43" t="b">
        <f t="shared" si="0"/>
        <v>1</v>
      </c>
      <c r="D40" s="43"/>
      <c r="E40" s="44">
        <v>77</v>
      </c>
      <c r="F40" s="45" t="s">
        <v>56</v>
      </c>
      <c r="G40" s="46">
        <v>9</v>
      </c>
      <c r="H40" s="39">
        <v>38390.76</v>
      </c>
      <c r="I40" s="39">
        <v>2</v>
      </c>
      <c r="J40" s="39">
        <v>4785.84</v>
      </c>
      <c r="K40" s="39">
        <v>0</v>
      </c>
      <c r="L40" s="39">
        <v>0</v>
      </c>
      <c r="M40" s="39">
        <v>0</v>
      </c>
      <c r="N40" s="39">
        <v>0</v>
      </c>
      <c r="O40" s="39">
        <v>43176.600000000006</v>
      </c>
      <c r="P40" s="2"/>
      <c r="Q40" s="47">
        <v>8635.33</v>
      </c>
      <c r="R40" s="48">
        <v>8635.33</v>
      </c>
      <c r="S40" s="48">
        <v>12952.970000000001</v>
      </c>
      <c r="T40" s="49"/>
    </row>
    <row r="41" spans="1:20" s="50" customFormat="1" x14ac:dyDescent="0.2">
      <c r="A41" s="43">
        <v>79</v>
      </c>
      <c r="B41" s="43" t="s">
        <v>57</v>
      </c>
      <c r="C41" s="43" t="b">
        <f t="shared" si="0"/>
        <v>1</v>
      </c>
      <c r="D41" s="43"/>
      <c r="E41" s="44">
        <v>79</v>
      </c>
      <c r="F41" s="45" t="s">
        <v>57</v>
      </c>
      <c r="G41" s="46">
        <v>54</v>
      </c>
      <c r="H41" s="39">
        <v>230344.56</v>
      </c>
      <c r="I41" s="39">
        <v>9</v>
      </c>
      <c r="J41" s="39">
        <v>21536.28</v>
      </c>
      <c r="K41" s="39">
        <v>4</v>
      </c>
      <c r="L41" s="39">
        <v>8739.36</v>
      </c>
      <c r="M41" s="39">
        <v>0</v>
      </c>
      <c r="N41" s="39">
        <v>0</v>
      </c>
      <c r="O41" s="39">
        <v>260620.2</v>
      </c>
      <c r="P41" s="2"/>
      <c r="Q41" s="47">
        <v>47692.01999999996</v>
      </c>
      <c r="R41" s="48">
        <v>52124.119999999959</v>
      </c>
      <c r="S41" s="48">
        <v>78185.98000000004</v>
      </c>
      <c r="T41" s="49"/>
    </row>
    <row r="42" spans="1:20" s="50" customFormat="1" x14ac:dyDescent="0.2">
      <c r="A42" s="43">
        <v>81</v>
      </c>
      <c r="B42" s="43" t="s">
        <v>58</v>
      </c>
      <c r="C42" s="43" t="b">
        <f t="shared" si="0"/>
        <v>1</v>
      </c>
      <c r="D42" s="43"/>
      <c r="E42" s="44">
        <v>81</v>
      </c>
      <c r="F42" s="45" t="s">
        <v>58</v>
      </c>
      <c r="G42" s="46">
        <v>24</v>
      </c>
      <c r="H42" s="39">
        <v>102375.36</v>
      </c>
      <c r="I42" s="39">
        <v>2</v>
      </c>
      <c r="J42" s="39">
        <v>4785.84</v>
      </c>
      <c r="K42" s="39">
        <v>3</v>
      </c>
      <c r="L42" s="39">
        <v>6554.52</v>
      </c>
      <c r="M42" s="39">
        <v>0</v>
      </c>
      <c r="N42" s="39">
        <v>0</v>
      </c>
      <c r="O42" s="39">
        <v>113715.72</v>
      </c>
      <c r="P42" s="2"/>
      <c r="Q42" s="47">
        <v>22264.609999999997</v>
      </c>
      <c r="R42" s="48">
        <v>22743.189999999995</v>
      </c>
      <c r="S42" s="48">
        <v>34114.669999999991</v>
      </c>
      <c r="T42" s="49"/>
    </row>
    <row r="43" spans="1:20" s="50" customFormat="1" x14ac:dyDescent="0.2">
      <c r="A43" s="43">
        <v>83</v>
      </c>
      <c r="B43" s="43" t="s">
        <v>59</v>
      </c>
      <c r="C43" s="43" t="b">
        <f t="shared" si="0"/>
        <v>1</v>
      </c>
      <c r="D43" s="43"/>
      <c r="E43" s="44">
        <v>83</v>
      </c>
      <c r="F43" s="45" t="s">
        <v>59</v>
      </c>
      <c r="G43" s="46">
        <v>3</v>
      </c>
      <c r="H43" s="39">
        <v>12796.92</v>
      </c>
      <c r="I43" s="39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12796.92</v>
      </c>
      <c r="P43" s="2"/>
      <c r="Q43" s="47">
        <v>1706.26</v>
      </c>
      <c r="R43" s="48">
        <v>2559.39</v>
      </c>
      <c r="S43" s="48">
        <v>3839.07</v>
      </c>
      <c r="T43" s="49"/>
    </row>
    <row r="44" spans="1:20" s="50" customFormat="1" x14ac:dyDescent="0.2">
      <c r="A44" s="43">
        <v>87</v>
      </c>
      <c r="B44" s="43" t="s">
        <v>60</v>
      </c>
      <c r="C44" s="43" t="b">
        <f t="shared" si="0"/>
        <v>1</v>
      </c>
      <c r="D44" s="43"/>
      <c r="E44" s="44">
        <v>87</v>
      </c>
      <c r="F44" s="45" t="s">
        <v>60</v>
      </c>
      <c r="G44" s="46">
        <v>3</v>
      </c>
      <c r="H44" s="39">
        <v>12796.92</v>
      </c>
      <c r="I44" s="39">
        <v>2</v>
      </c>
      <c r="J44" s="39">
        <v>4785.84</v>
      </c>
      <c r="K44" s="39">
        <v>0</v>
      </c>
      <c r="L44" s="39">
        <v>0</v>
      </c>
      <c r="M44" s="39">
        <v>0</v>
      </c>
      <c r="N44" s="39">
        <v>0</v>
      </c>
      <c r="O44" s="39">
        <v>17582.760000000002</v>
      </c>
      <c r="P44" s="2"/>
      <c r="Q44" s="47">
        <v>4848.26</v>
      </c>
      <c r="R44" s="48">
        <v>4848.26</v>
      </c>
      <c r="S44" s="48">
        <v>5274.83</v>
      </c>
      <c r="T44" s="49"/>
    </row>
    <row r="45" spans="1:20" s="50" customFormat="1" x14ac:dyDescent="0.2">
      <c r="A45" s="43">
        <v>89</v>
      </c>
      <c r="B45" s="43" t="s">
        <v>61</v>
      </c>
      <c r="C45" s="43" t="b">
        <f t="shared" si="0"/>
        <v>1</v>
      </c>
      <c r="D45" s="43"/>
      <c r="E45" s="44">
        <v>89</v>
      </c>
      <c r="F45" s="45" t="s">
        <v>61</v>
      </c>
      <c r="G45" s="46">
        <v>40</v>
      </c>
      <c r="H45" s="39">
        <v>170625.6</v>
      </c>
      <c r="I45" s="39">
        <v>11</v>
      </c>
      <c r="J45" s="39">
        <v>26322.12</v>
      </c>
      <c r="K45" s="39">
        <v>7</v>
      </c>
      <c r="L45" s="39">
        <v>15293.88</v>
      </c>
      <c r="M45" s="39">
        <v>0</v>
      </c>
      <c r="N45" s="39">
        <v>0</v>
      </c>
      <c r="O45" s="39">
        <v>212241.6</v>
      </c>
      <c r="P45" s="2"/>
      <c r="Q45" s="47">
        <v>34582.94</v>
      </c>
      <c r="R45" s="48">
        <v>41116.659999999974</v>
      </c>
      <c r="S45" s="48">
        <v>63672.430000000022</v>
      </c>
      <c r="T45" s="49"/>
    </row>
    <row r="46" spans="1:20" s="50" customFormat="1" x14ac:dyDescent="0.2">
      <c r="A46" s="43">
        <v>91</v>
      </c>
      <c r="B46" s="43" t="s">
        <v>62</v>
      </c>
      <c r="C46" s="43" t="b">
        <f t="shared" si="0"/>
        <v>1</v>
      </c>
      <c r="D46" s="43"/>
      <c r="E46" s="44">
        <v>91</v>
      </c>
      <c r="F46" s="45" t="s">
        <v>62</v>
      </c>
      <c r="G46" s="46">
        <v>0</v>
      </c>
      <c r="H46" s="39">
        <v>0</v>
      </c>
      <c r="I46" s="39">
        <v>0</v>
      </c>
      <c r="J46" s="39">
        <v>0</v>
      </c>
      <c r="K46" s="39">
        <v>0</v>
      </c>
      <c r="L46" s="39">
        <v>0</v>
      </c>
      <c r="M46" s="39">
        <v>0</v>
      </c>
      <c r="N46" s="39">
        <v>0</v>
      </c>
      <c r="O46" s="39">
        <v>0</v>
      </c>
      <c r="P46" s="2"/>
      <c r="Q46" s="47">
        <v>0</v>
      </c>
      <c r="R46" s="48">
        <v>0</v>
      </c>
      <c r="S46" s="48">
        <v>0</v>
      </c>
      <c r="T46" s="49"/>
    </row>
    <row r="47" spans="1:20" s="50" customFormat="1" x14ac:dyDescent="0.2">
      <c r="A47" s="43">
        <v>93</v>
      </c>
      <c r="B47" s="43" t="s">
        <v>63</v>
      </c>
      <c r="C47" s="43" t="b">
        <f t="shared" si="0"/>
        <v>1</v>
      </c>
      <c r="D47" s="43"/>
      <c r="E47" s="44">
        <v>93</v>
      </c>
      <c r="F47" s="45" t="s">
        <v>63</v>
      </c>
      <c r="G47" s="46">
        <v>14</v>
      </c>
      <c r="H47" s="39">
        <v>59718.96</v>
      </c>
      <c r="I47" s="39">
        <v>0</v>
      </c>
      <c r="J47" s="39">
        <v>0</v>
      </c>
      <c r="K47" s="39">
        <v>3</v>
      </c>
      <c r="L47" s="39">
        <v>6554.52</v>
      </c>
      <c r="M47" s="39">
        <v>0</v>
      </c>
      <c r="N47" s="39">
        <v>0</v>
      </c>
      <c r="O47" s="39">
        <v>66273.48</v>
      </c>
      <c r="P47" s="2"/>
      <c r="Q47" s="47">
        <v>10674.529999999999</v>
      </c>
      <c r="R47" s="48">
        <v>11964.629999999997</v>
      </c>
      <c r="S47" s="48">
        <v>19882.009999999998</v>
      </c>
      <c r="T47" s="49"/>
    </row>
    <row r="48" spans="1:20" s="50" customFormat="1" x14ac:dyDescent="0.2">
      <c r="A48" s="43">
        <v>95</v>
      </c>
      <c r="B48" s="43" t="s">
        <v>64</v>
      </c>
      <c r="C48" s="43" t="b">
        <f t="shared" si="0"/>
        <v>1</v>
      </c>
      <c r="D48" s="43"/>
      <c r="E48" s="44">
        <v>95</v>
      </c>
      <c r="F48" s="45" t="s">
        <v>64</v>
      </c>
      <c r="G48" s="46">
        <v>50</v>
      </c>
      <c r="H48" s="39">
        <v>213282</v>
      </c>
      <c r="I48" s="39">
        <v>3</v>
      </c>
      <c r="J48" s="39">
        <v>7178.76</v>
      </c>
      <c r="K48" s="39">
        <v>2</v>
      </c>
      <c r="L48" s="39">
        <v>4369.68</v>
      </c>
      <c r="M48" s="39">
        <v>0</v>
      </c>
      <c r="N48" s="39">
        <v>0</v>
      </c>
      <c r="O48" s="39">
        <v>224830.44</v>
      </c>
      <c r="P48" s="2"/>
      <c r="Q48" s="47">
        <v>44695.659999999974</v>
      </c>
      <c r="R48" s="48">
        <v>43259.919999999969</v>
      </c>
      <c r="S48" s="48">
        <v>67449.040000000037</v>
      </c>
      <c r="T48" s="49"/>
    </row>
    <row r="49" spans="1:20" s="50" customFormat="1" x14ac:dyDescent="0.2">
      <c r="A49" s="43">
        <v>99</v>
      </c>
      <c r="B49" s="43" t="s">
        <v>65</v>
      </c>
      <c r="C49" s="43" t="b">
        <f t="shared" si="0"/>
        <v>1</v>
      </c>
      <c r="D49" s="43"/>
      <c r="E49" s="44">
        <v>99</v>
      </c>
      <c r="F49" s="45" t="s">
        <v>65</v>
      </c>
      <c r="G49" s="46">
        <v>38</v>
      </c>
      <c r="H49" s="39">
        <v>162094.32</v>
      </c>
      <c r="I49" s="39">
        <v>4</v>
      </c>
      <c r="J49" s="39">
        <v>9571.68</v>
      </c>
      <c r="K49" s="39">
        <v>5</v>
      </c>
      <c r="L49" s="39">
        <v>10924.2</v>
      </c>
      <c r="M49" s="39">
        <v>0</v>
      </c>
      <c r="N49" s="39">
        <v>0</v>
      </c>
      <c r="O49" s="39">
        <v>182590.2</v>
      </c>
      <c r="P49" s="2"/>
      <c r="Q49" s="47">
        <v>29589.039999999997</v>
      </c>
      <c r="R49" s="48">
        <v>35664.979999999996</v>
      </c>
      <c r="S49" s="48">
        <v>54776.99000000002</v>
      </c>
      <c r="T49" s="49"/>
    </row>
    <row r="50" spans="1:20" s="50" customFormat="1" x14ac:dyDescent="0.2">
      <c r="A50" s="43">
        <v>101</v>
      </c>
      <c r="B50" s="43" t="s">
        <v>66</v>
      </c>
      <c r="C50" s="43" t="b">
        <f t="shared" si="0"/>
        <v>1</v>
      </c>
      <c r="D50" s="43"/>
      <c r="E50" s="44">
        <v>101</v>
      </c>
      <c r="F50" s="45" t="s">
        <v>66</v>
      </c>
      <c r="G50" s="46">
        <v>98</v>
      </c>
      <c r="H50" s="39">
        <v>418032.72</v>
      </c>
      <c r="I50" s="39">
        <v>34</v>
      </c>
      <c r="J50" s="39">
        <v>81359.28</v>
      </c>
      <c r="K50" s="39">
        <v>8</v>
      </c>
      <c r="L50" s="39">
        <v>17478.72</v>
      </c>
      <c r="M50" s="39">
        <v>1</v>
      </c>
      <c r="N50" s="39">
        <v>832.32</v>
      </c>
      <c r="O50" s="39">
        <v>517703.04</v>
      </c>
      <c r="P50" s="2"/>
      <c r="Q50" s="47">
        <v>89703.330000000089</v>
      </c>
      <c r="R50" s="48">
        <v>102250.58000000013</v>
      </c>
      <c r="S50" s="48">
        <v>155310.8400000002</v>
      </c>
      <c r="T50" s="49"/>
    </row>
    <row r="51" spans="1:20" s="50" customFormat="1" x14ac:dyDescent="0.2">
      <c r="A51" s="43">
        <v>103</v>
      </c>
      <c r="B51" s="43" t="s">
        <v>67</v>
      </c>
      <c r="C51" s="43" t="b">
        <f t="shared" si="0"/>
        <v>1</v>
      </c>
      <c r="D51" s="43"/>
      <c r="E51" s="44">
        <v>103</v>
      </c>
      <c r="F51" s="45" t="s">
        <v>67</v>
      </c>
      <c r="G51" s="46">
        <v>1</v>
      </c>
      <c r="H51" s="39">
        <v>4265.6400000000003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4265.6400000000003</v>
      </c>
      <c r="P51" s="2"/>
      <c r="Q51" s="47">
        <v>853.13</v>
      </c>
      <c r="R51" s="48">
        <v>853.13</v>
      </c>
      <c r="S51" s="48">
        <v>1279.69</v>
      </c>
      <c r="T51" s="49"/>
    </row>
    <row r="52" spans="1:20" s="50" customFormat="1" x14ac:dyDescent="0.2">
      <c r="A52" s="43">
        <v>105</v>
      </c>
      <c r="B52" s="43" t="s">
        <v>68</v>
      </c>
      <c r="C52" s="43" t="b">
        <f t="shared" si="0"/>
        <v>1</v>
      </c>
      <c r="D52" s="43"/>
      <c r="E52" s="44">
        <v>105</v>
      </c>
      <c r="F52" s="45" t="s">
        <v>68</v>
      </c>
      <c r="G52" s="46">
        <v>11</v>
      </c>
      <c r="H52" s="39">
        <v>46922.04</v>
      </c>
      <c r="I52" s="39">
        <v>2</v>
      </c>
      <c r="J52" s="39">
        <v>4785.84</v>
      </c>
      <c r="K52" s="39">
        <v>1</v>
      </c>
      <c r="L52" s="39">
        <v>2184.84</v>
      </c>
      <c r="M52" s="39">
        <v>0</v>
      </c>
      <c r="N52" s="39">
        <v>0</v>
      </c>
      <c r="O52" s="39">
        <v>53892.72</v>
      </c>
      <c r="P52" s="2"/>
      <c r="Q52" s="47">
        <v>5597.3600000000006</v>
      </c>
      <c r="R52" s="48">
        <v>8635.33</v>
      </c>
      <c r="S52" s="48">
        <v>16167.800000000003</v>
      </c>
      <c r="T52" s="49"/>
    </row>
    <row r="53" spans="1:20" s="50" customFormat="1" x14ac:dyDescent="0.2">
      <c r="A53" s="43">
        <v>107</v>
      </c>
      <c r="B53" s="43" t="s">
        <v>69</v>
      </c>
      <c r="C53" s="43" t="b">
        <f t="shared" si="0"/>
        <v>1</v>
      </c>
      <c r="D53" s="43"/>
      <c r="E53" s="44">
        <v>107</v>
      </c>
      <c r="F53" s="45" t="s">
        <v>69</v>
      </c>
      <c r="G53" s="46">
        <v>0</v>
      </c>
      <c r="H53" s="39">
        <v>0</v>
      </c>
      <c r="I53" s="39">
        <v>0</v>
      </c>
      <c r="J53" s="39">
        <v>0</v>
      </c>
      <c r="K53" s="39">
        <v>0</v>
      </c>
      <c r="L53" s="39">
        <v>0</v>
      </c>
      <c r="M53" s="39">
        <v>0</v>
      </c>
      <c r="N53" s="39">
        <v>0</v>
      </c>
      <c r="O53" s="39">
        <v>0</v>
      </c>
      <c r="P53" s="2"/>
      <c r="Q53" s="47">
        <v>0</v>
      </c>
      <c r="R53" s="48">
        <v>0</v>
      </c>
      <c r="S53" s="48">
        <v>0</v>
      </c>
      <c r="T53" s="49"/>
    </row>
    <row r="54" spans="1:20" s="50" customFormat="1" x14ac:dyDescent="0.2">
      <c r="A54" s="43">
        <v>111</v>
      </c>
      <c r="B54" s="43" t="s">
        <v>70</v>
      </c>
      <c r="C54" s="43" t="b">
        <f t="shared" si="0"/>
        <v>1</v>
      </c>
      <c r="D54" s="43"/>
      <c r="E54" s="44">
        <v>111</v>
      </c>
      <c r="F54" s="45" t="s">
        <v>70</v>
      </c>
      <c r="G54" s="46">
        <v>324</v>
      </c>
      <c r="H54" s="39">
        <v>1382067.36</v>
      </c>
      <c r="I54" s="39">
        <v>56</v>
      </c>
      <c r="J54" s="39">
        <v>134003.51999999999</v>
      </c>
      <c r="K54" s="39">
        <v>38</v>
      </c>
      <c r="L54" s="39">
        <v>83023.92</v>
      </c>
      <c r="M54" s="39">
        <v>0</v>
      </c>
      <c r="N54" s="39">
        <v>0</v>
      </c>
      <c r="O54" s="39">
        <v>1599094.8</v>
      </c>
      <c r="P54" s="2"/>
      <c r="Q54" s="47">
        <v>290563.40000000072</v>
      </c>
      <c r="R54" s="48">
        <v>317738.65000000078</v>
      </c>
      <c r="S54" s="48">
        <v>479727.94000000105</v>
      </c>
      <c r="T54" s="49"/>
    </row>
    <row r="55" spans="1:20" s="50" customFormat="1" x14ac:dyDescent="0.2">
      <c r="A55" s="43">
        <v>113</v>
      </c>
      <c r="B55" s="43" t="s">
        <v>71</v>
      </c>
      <c r="C55" s="43" t="b">
        <f t="shared" si="0"/>
        <v>1</v>
      </c>
      <c r="D55" s="43"/>
      <c r="E55" s="44">
        <v>113</v>
      </c>
      <c r="F55" s="45" t="s">
        <v>71</v>
      </c>
      <c r="G55" s="46">
        <v>28</v>
      </c>
      <c r="H55" s="39">
        <v>119437.92</v>
      </c>
      <c r="I55" s="39">
        <v>10</v>
      </c>
      <c r="J55" s="39">
        <v>23929.200000000001</v>
      </c>
      <c r="K55" s="39">
        <v>1</v>
      </c>
      <c r="L55" s="39">
        <v>2184.84</v>
      </c>
      <c r="M55" s="39">
        <v>0</v>
      </c>
      <c r="N55" s="39">
        <v>0</v>
      </c>
      <c r="O55" s="39">
        <v>145551.96</v>
      </c>
      <c r="P55" s="2"/>
      <c r="Q55" s="47">
        <v>25593.86</v>
      </c>
      <c r="R55" s="48">
        <v>28257.279999999999</v>
      </c>
      <c r="S55" s="48">
        <v>43665.57</v>
      </c>
      <c r="T55" s="49"/>
    </row>
    <row r="56" spans="1:20" s="50" customFormat="1" x14ac:dyDescent="0.2">
      <c r="A56" s="43">
        <v>115</v>
      </c>
      <c r="B56" s="43" t="s">
        <v>72</v>
      </c>
      <c r="C56" s="43" t="b">
        <f t="shared" si="0"/>
        <v>1</v>
      </c>
      <c r="D56" s="43"/>
      <c r="E56" s="44">
        <v>115</v>
      </c>
      <c r="F56" s="45" t="s">
        <v>72</v>
      </c>
      <c r="G56" s="46">
        <v>19</v>
      </c>
      <c r="H56" s="39">
        <v>81047.16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81047.16</v>
      </c>
      <c r="P56" s="2"/>
      <c r="Q56" s="47">
        <v>17062.599999999991</v>
      </c>
      <c r="R56" s="48">
        <v>16209.469999999992</v>
      </c>
      <c r="S56" s="48">
        <v>24314.109999999997</v>
      </c>
      <c r="T56" s="49"/>
    </row>
    <row r="57" spans="1:20" s="50" customFormat="1" x14ac:dyDescent="0.2">
      <c r="A57" s="43">
        <v>117</v>
      </c>
      <c r="B57" s="43" t="s">
        <v>73</v>
      </c>
      <c r="C57" s="43" t="b">
        <f t="shared" si="0"/>
        <v>1</v>
      </c>
      <c r="D57" s="43"/>
      <c r="E57" s="44">
        <v>117</v>
      </c>
      <c r="F57" s="45" t="s">
        <v>73</v>
      </c>
      <c r="G57" s="46">
        <v>17</v>
      </c>
      <c r="H57" s="39">
        <v>72515.88</v>
      </c>
      <c r="I57" s="39">
        <v>1</v>
      </c>
      <c r="J57" s="39">
        <v>2392.92</v>
      </c>
      <c r="K57" s="39">
        <v>0</v>
      </c>
      <c r="L57" s="39">
        <v>0</v>
      </c>
      <c r="M57" s="39">
        <v>0</v>
      </c>
      <c r="N57" s="39">
        <v>0</v>
      </c>
      <c r="O57" s="39">
        <v>74908.800000000003</v>
      </c>
      <c r="P57" s="2"/>
      <c r="Q57" s="47">
        <v>14128.659999999994</v>
      </c>
      <c r="R57" s="48">
        <v>14981.789999999994</v>
      </c>
      <c r="S57" s="48">
        <v>22472.609999999997</v>
      </c>
      <c r="T57" s="49"/>
    </row>
    <row r="58" spans="1:20" s="50" customFormat="1" x14ac:dyDescent="0.2">
      <c r="A58" s="43">
        <v>119</v>
      </c>
      <c r="B58" s="43" t="s">
        <v>74</v>
      </c>
      <c r="C58" s="43" t="b">
        <f t="shared" si="0"/>
        <v>1</v>
      </c>
      <c r="D58" s="43"/>
      <c r="E58" s="44">
        <v>119</v>
      </c>
      <c r="F58" s="45" t="s">
        <v>74</v>
      </c>
      <c r="G58" s="46">
        <v>13</v>
      </c>
      <c r="H58" s="39">
        <v>55453.32</v>
      </c>
      <c r="I58" s="39">
        <v>11</v>
      </c>
      <c r="J58" s="39">
        <v>26322.12</v>
      </c>
      <c r="K58" s="39">
        <v>0</v>
      </c>
      <c r="L58" s="39">
        <v>0</v>
      </c>
      <c r="M58" s="39">
        <v>0</v>
      </c>
      <c r="N58" s="39">
        <v>0</v>
      </c>
      <c r="O58" s="39">
        <v>81775.44</v>
      </c>
      <c r="P58" s="2"/>
      <c r="Q58" s="47">
        <v>15023.359999999997</v>
      </c>
      <c r="R58" s="48">
        <v>16355.069999999996</v>
      </c>
      <c r="S58" s="48">
        <v>24532.649999999998</v>
      </c>
      <c r="T58" s="49"/>
    </row>
    <row r="59" spans="1:20" s="50" customFormat="1" x14ac:dyDescent="0.2">
      <c r="A59" s="43">
        <v>123</v>
      </c>
      <c r="B59" s="43" t="s">
        <v>75</v>
      </c>
      <c r="C59" s="43" t="b">
        <f t="shared" si="0"/>
        <v>1</v>
      </c>
      <c r="D59" s="43"/>
      <c r="E59" s="44">
        <v>123</v>
      </c>
      <c r="F59" s="45" t="s">
        <v>75</v>
      </c>
      <c r="G59" s="46">
        <v>16</v>
      </c>
      <c r="H59" s="39">
        <v>68250.240000000005</v>
      </c>
      <c r="I59" s="39">
        <v>5</v>
      </c>
      <c r="J59" s="39">
        <v>11964.6</v>
      </c>
      <c r="K59" s="39">
        <v>2</v>
      </c>
      <c r="L59" s="39">
        <v>4369.68</v>
      </c>
      <c r="M59" s="39">
        <v>0</v>
      </c>
      <c r="N59" s="39">
        <v>0</v>
      </c>
      <c r="O59" s="39">
        <v>84584.520000000019</v>
      </c>
      <c r="P59" s="2"/>
      <c r="Q59" s="47">
        <v>12047.849999999997</v>
      </c>
      <c r="R59" s="48">
        <v>15481.179999999993</v>
      </c>
      <c r="S59" s="48">
        <v>25375.339999999997</v>
      </c>
      <c r="T59" s="49"/>
    </row>
    <row r="60" spans="1:20" s="50" customFormat="1" x14ac:dyDescent="0.2">
      <c r="A60" s="43">
        <v>125</v>
      </c>
      <c r="B60" s="43" t="s">
        <v>76</v>
      </c>
      <c r="C60" s="43" t="b">
        <f t="shared" si="0"/>
        <v>1</v>
      </c>
      <c r="D60" s="43"/>
      <c r="E60" s="44">
        <v>125</v>
      </c>
      <c r="F60" s="45" t="s">
        <v>76</v>
      </c>
      <c r="G60" s="46">
        <v>16</v>
      </c>
      <c r="H60" s="39">
        <v>68250.240000000005</v>
      </c>
      <c r="I60" s="39">
        <v>2</v>
      </c>
      <c r="J60" s="39">
        <v>4785.84</v>
      </c>
      <c r="K60" s="39">
        <v>3</v>
      </c>
      <c r="L60" s="39">
        <v>6554.52</v>
      </c>
      <c r="M60" s="39">
        <v>0</v>
      </c>
      <c r="N60" s="39">
        <v>0</v>
      </c>
      <c r="O60" s="39">
        <v>79590.600000000006</v>
      </c>
      <c r="P60" s="2"/>
      <c r="Q60" s="47">
        <v>14960.989999999994</v>
      </c>
      <c r="R60" s="48">
        <v>15918.149999999996</v>
      </c>
      <c r="S60" s="48">
        <v>23877.149999999994</v>
      </c>
      <c r="T60" s="49"/>
    </row>
    <row r="61" spans="1:20" s="50" customFormat="1" x14ac:dyDescent="0.2">
      <c r="A61" s="43">
        <v>127</v>
      </c>
      <c r="B61" s="43" t="s">
        <v>77</v>
      </c>
      <c r="C61" s="43" t="b">
        <f t="shared" si="0"/>
        <v>1</v>
      </c>
      <c r="D61" s="43"/>
      <c r="E61" s="44">
        <v>127</v>
      </c>
      <c r="F61" s="45" t="s">
        <v>77</v>
      </c>
      <c r="G61" s="46">
        <v>43</v>
      </c>
      <c r="H61" s="39">
        <v>183422.52</v>
      </c>
      <c r="I61" s="39">
        <v>5</v>
      </c>
      <c r="J61" s="39">
        <v>11964.6</v>
      </c>
      <c r="K61" s="39">
        <v>6</v>
      </c>
      <c r="L61" s="39">
        <v>13109.04</v>
      </c>
      <c r="M61" s="39">
        <v>0</v>
      </c>
      <c r="N61" s="39">
        <v>0</v>
      </c>
      <c r="O61" s="39">
        <v>208496.16</v>
      </c>
      <c r="P61" s="2"/>
      <c r="Q61" s="47">
        <v>32023.590000000011</v>
      </c>
      <c r="R61" s="48">
        <v>41699.309999999983</v>
      </c>
      <c r="S61" s="48">
        <v>62548.770000000033</v>
      </c>
      <c r="T61" s="49"/>
    </row>
    <row r="62" spans="1:20" s="50" customFormat="1" x14ac:dyDescent="0.2">
      <c r="A62" s="50">
        <v>129</v>
      </c>
      <c r="B62" s="50" t="s">
        <v>78</v>
      </c>
      <c r="C62" s="50" t="b">
        <f t="shared" si="0"/>
        <v>1</v>
      </c>
      <c r="D62" s="43"/>
      <c r="E62" s="44">
        <v>129</v>
      </c>
      <c r="F62" s="45" t="s">
        <v>78</v>
      </c>
      <c r="G62" s="46">
        <v>27</v>
      </c>
      <c r="H62" s="39">
        <v>115172.28</v>
      </c>
      <c r="I62" s="39">
        <v>13</v>
      </c>
      <c r="J62" s="39">
        <v>31107.96</v>
      </c>
      <c r="K62" s="39">
        <v>3</v>
      </c>
      <c r="L62" s="39">
        <v>6554.52</v>
      </c>
      <c r="M62" s="39">
        <v>0</v>
      </c>
      <c r="N62" s="39">
        <v>0</v>
      </c>
      <c r="O62" s="39">
        <v>152834.75999999998</v>
      </c>
      <c r="P62" s="2"/>
      <c r="Q62" s="47">
        <v>28756.67</v>
      </c>
      <c r="R62" s="48">
        <v>30566.959999999999</v>
      </c>
      <c r="S62" s="48">
        <v>45850.420000000006</v>
      </c>
      <c r="T62" s="49"/>
    </row>
    <row r="63" spans="1:20" s="50" customFormat="1" x14ac:dyDescent="0.2">
      <c r="A63" s="50">
        <v>131</v>
      </c>
      <c r="B63" s="50" t="s">
        <v>79</v>
      </c>
      <c r="C63" s="50" t="b">
        <f t="shared" si="0"/>
        <v>1</v>
      </c>
      <c r="D63" s="43"/>
      <c r="E63" s="44">
        <v>131</v>
      </c>
      <c r="F63" s="45" t="s">
        <v>79</v>
      </c>
      <c r="G63" s="46">
        <v>167</v>
      </c>
      <c r="H63" s="39">
        <v>712361.88</v>
      </c>
      <c r="I63" s="39">
        <v>27</v>
      </c>
      <c r="J63" s="39">
        <v>64608.84</v>
      </c>
      <c r="K63" s="39">
        <v>34</v>
      </c>
      <c r="L63" s="39">
        <v>74284.56</v>
      </c>
      <c r="M63" s="39">
        <v>0</v>
      </c>
      <c r="N63" s="39">
        <v>0</v>
      </c>
      <c r="O63" s="39">
        <v>851255.28</v>
      </c>
      <c r="P63" s="2"/>
      <c r="Q63" s="47">
        <v>164758.06000000041</v>
      </c>
      <c r="R63" s="48">
        <v>165070.1500000004</v>
      </c>
      <c r="S63" s="48">
        <v>255376.29000000042</v>
      </c>
      <c r="T63" s="49"/>
    </row>
    <row r="64" spans="1:20" s="50" customFormat="1" x14ac:dyDescent="0.2">
      <c r="A64" s="50">
        <v>133</v>
      </c>
      <c r="B64" s="50" t="s">
        <v>80</v>
      </c>
      <c r="C64" s="50" t="b">
        <f t="shared" si="0"/>
        <v>1</v>
      </c>
      <c r="D64" s="43"/>
      <c r="E64" s="44">
        <v>133</v>
      </c>
      <c r="F64" s="45" t="s">
        <v>80</v>
      </c>
      <c r="G64" s="46">
        <v>0</v>
      </c>
      <c r="H64" s="39">
        <v>0</v>
      </c>
      <c r="I64" s="39">
        <v>0</v>
      </c>
      <c r="J64" s="39">
        <v>0</v>
      </c>
      <c r="K64" s="39">
        <v>0</v>
      </c>
      <c r="L64" s="39">
        <v>0</v>
      </c>
      <c r="M64" s="39">
        <v>0</v>
      </c>
      <c r="N64" s="39">
        <v>0</v>
      </c>
      <c r="O64" s="39">
        <v>0</v>
      </c>
      <c r="P64" s="2"/>
      <c r="Q64" s="47">
        <v>0</v>
      </c>
      <c r="R64" s="48">
        <v>0</v>
      </c>
      <c r="S64" s="48">
        <v>0</v>
      </c>
      <c r="T64" s="49"/>
    </row>
    <row r="65" spans="1:20" s="50" customFormat="1" x14ac:dyDescent="0.2">
      <c r="A65" s="50">
        <v>134</v>
      </c>
      <c r="B65" s="50" t="s">
        <v>81</v>
      </c>
      <c r="C65" s="50" t="b">
        <f t="shared" si="0"/>
        <v>1</v>
      </c>
      <c r="D65" s="43"/>
      <c r="E65" s="44">
        <v>134</v>
      </c>
      <c r="F65" s="45" t="s">
        <v>81</v>
      </c>
      <c r="G65" s="46">
        <v>0</v>
      </c>
      <c r="H65" s="39">
        <v>0</v>
      </c>
      <c r="I65" s="39">
        <v>0</v>
      </c>
      <c r="J65" s="39">
        <v>0</v>
      </c>
      <c r="K65" s="39">
        <v>0</v>
      </c>
      <c r="L65" s="39">
        <v>0</v>
      </c>
      <c r="M65" s="39">
        <v>0</v>
      </c>
      <c r="N65" s="39">
        <v>0</v>
      </c>
      <c r="O65" s="39">
        <v>0</v>
      </c>
      <c r="P65" s="2"/>
      <c r="Q65" s="47">
        <v>0</v>
      </c>
      <c r="R65" s="48">
        <v>0</v>
      </c>
      <c r="S65" s="48">
        <v>0</v>
      </c>
      <c r="T65" s="49"/>
    </row>
    <row r="66" spans="1:20" s="50" customFormat="1" x14ac:dyDescent="0.2">
      <c r="A66" s="50">
        <v>139</v>
      </c>
      <c r="B66" s="50" t="s">
        <v>82</v>
      </c>
      <c r="C66" s="50" t="b">
        <f t="shared" si="0"/>
        <v>1</v>
      </c>
      <c r="D66" s="43"/>
      <c r="E66" s="44">
        <v>139</v>
      </c>
      <c r="F66" s="45" t="s">
        <v>82</v>
      </c>
      <c r="G66" s="46">
        <v>2</v>
      </c>
      <c r="H66" s="39">
        <v>8531.2800000000007</v>
      </c>
      <c r="I66" s="39">
        <v>0</v>
      </c>
      <c r="J66" s="39">
        <v>0</v>
      </c>
      <c r="K66" s="39">
        <v>0</v>
      </c>
      <c r="L66" s="39">
        <v>0</v>
      </c>
      <c r="M66" s="39">
        <v>0</v>
      </c>
      <c r="N66" s="39">
        <v>0</v>
      </c>
      <c r="O66" s="39">
        <v>8531.2800000000007</v>
      </c>
      <c r="P66" s="2"/>
      <c r="Q66" s="47">
        <v>1706.26</v>
      </c>
      <c r="R66" s="48">
        <v>1706.26</v>
      </c>
      <c r="S66" s="48">
        <v>2559.38</v>
      </c>
      <c r="T66" s="49"/>
    </row>
    <row r="67" spans="1:20" s="50" customFormat="1" x14ac:dyDescent="0.2">
      <c r="A67" s="50">
        <v>141</v>
      </c>
      <c r="B67" s="50" t="s">
        <v>83</v>
      </c>
      <c r="C67" s="50" t="b">
        <f t="shared" si="0"/>
        <v>1</v>
      </c>
      <c r="D67" s="43"/>
      <c r="E67" s="44">
        <v>141</v>
      </c>
      <c r="F67" s="45" t="s">
        <v>83</v>
      </c>
      <c r="G67" s="46">
        <v>239</v>
      </c>
      <c r="H67" s="39">
        <v>1019487.96</v>
      </c>
      <c r="I67" s="39">
        <v>37</v>
      </c>
      <c r="J67" s="39">
        <v>88538.04</v>
      </c>
      <c r="K67" s="39">
        <v>27</v>
      </c>
      <c r="L67" s="39">
        <v>58990.68</v>
      </c>
      <c r="M67" s="39">
        <v>0</v>
      </c>
      <c r="N67" s="39">
        <v>0</v>
      </c>
      <c r="O67" s="39">
        <v>1167016.68</v>
      </c>
      <c r="P67" s="2"/>
      <c r="Q67" s="47">
        <v>221834.48000000062</v>
      </c>
      <c r="R67" s="48">
        <v>226204.17000000062</v>
      </c>
      <c r="S67" s="48">
        <v>350104.62000000058</v>
      </c>
      <c r="T67" s="49"/>
    </row>
    <row r="68" spans="1:20" s="50" customFormat="1" x14ac:dyDescent="0.2">
      <c r="A68" s="50">
        <v>143</v>
      </c>
      <c r="B68" s="50" t="s">
        <v>84</v>
      </c>
      <c r="C68" s="50" t="b">
        <f t="shared" si="0"/>
        <v>1</v>
      </c>
      <c r="D68" s="43"/>
      <c r="E68" s="44">
        <v>143</v>
      </c>
      <c r="F68" s="45" t="s">
        <v>84</v>
      </c>
      <c r="G68" s="46">
        <v>44</v>
      </c>
      <c r="H68" s="39">
        <v>187688.16</v>
      </c>
      <c r="I68" s="39">
        <v>17</v>
      </c>
      <c r="J68" s="39">
        <v>40679.64</v>
      </c>
      <c r="K68" s="39">
        <v>4</v>
      </c>
      <c r="L68" s="39">
        <v>8739.36</v>
      </c>
      <c r="M68" s="39">
        <v>0</v>
      </c>
      <c r="N68" s="39">
        <v>0</v>
      </c>
      <c r="O68" s="39">
        <v>237107.15999999997</v>
      </c>
      <c r="P68" s="2"/>
      <c r="Q68" s="47">
        <v>40263.51999999999</v>
      </c>
      <c r="R68" s="48">
        <v>46131.359999999979</v>
      </c>
      <c r="S68" s="48">
        <v>71132.120000000024</v>
      </c>
      <c r="T68" s="49"/>
    </row>
    <row r="69" spans="1:20" s="50" customFormat="1" x14ac:dyDescent="0.2">
      <c r="A69" s="50">
        <v>147</v>
      </c>
      <c r="B69" s="50" t="s">
        <v>85</v>
      </c>
      <c r="C69" s="50" t="b">
        <f t="shared" si="0"/>
        <v>1</v>
      </c>
      <c r="D69" s="43"/>
      <c r="E69" s="44">
        <v>147</v>
      </c>
      <c r="F69" s="45" t="s">
        <v>85</v>
      </c>
      <c r="G69" s="46">
        <v>10</v>
      </c>
      <c r="H69" s="39">
        <v>42656.4</v>
      </c>
      <c r="I69" s="39">
        <v>2</v>
      </c>
      <c r="J69" s="39">
        <v>4785.84</v>
      </c>
      <c r="K69" s="39">
        <v>2</v>
      </c>
      <c r="L69" s="39">
        <v>4369.68</v>
      </c>
      <c r="M69" s="39">
        <v>0</v>
      </c>
      <c r="N69" s="39">
        <v>0</v>
      </c>
      <c r="O69" s="39">
        <v>51811.920000000006</v>
      </c>
      <c r="P69" s="2"/>
      <c r="Q69" s="47">
        <v>9405.24</v>
      </c>
      <c r="R69" s="48">
        <v>10362.399999999998</v>
      </c>
      <c r="S69" s="48">
        <v>15543.560000000003</v>
      </c>
      <c r="T69" s="49"/>
    </row>
    <row r="70" spans="1:20" s="50" customFormat="1" x14ac:dyDescent="0.2">
      <c r="A70" s="50">
        <v>149</v>
      </c>
      <c r="B70" s="50" t="s">
        <v>86</v>
      </c>
      <c r="C70" s="50" t="b">
        <f t="shared" si="0"/>
        <v>1</v>
      </c>
      <c r="D70" s="43"/>
      <c r="E70" s="44">
        <v>149</v>
      </c>
      <c r="F70" s="45" t="s">
        <v>86</v>
      </c>
      <c r="G70" s="46">
        <v>35</v>
      </c>
      <c r="H70" s="39">
        <v>149297.4</v>
      </c>
      <c r="I70" s="39">
        <v>1</v>
      </c>
      <c r="J70" s="39">
        <v>2392.92</v>
      </c>
      <c r="K70" s="39">
        <v>5</v>
      </c>
      <c r="L70" s="39">
        <v>10924.2</v>
      </c>
      <c r="M70" s="39">
        <v>0</v>
      </c>
      <c r="N70" s="39">
        <v>0</v>
      </c>
      <c r="O70" s="39">
        <v>162614.52000000002</v>
      </c>
      <c r="P70" s="2"/>
      <c r="Q70" s="47">
        <v>32522.980000000014</v>
      </c>
      <c r="R70" s="48">
        <v>32522.980000000014</v>
      </c>
      <c r="S70" s="48">
        <v>48784.280000000013</v>
      </c>
      <c r="T70" s="49"/>
    </row>
    <row r="71" spans="1:20" s="50" customFormat="1" x14ac:dyDescent="0.2">
      <c r="A71" s="50">
        <v>151</v>
      </c>
      <c r="B71" s="50" t="s">
        <v>87</v>
      </c>
      <c r="C71" s="50" t="b">
        <f t="shared" si="0"/>
        <v>1</v>
      </c>
      <c r="D71" s="43"/>
      <c r="E71" s="44">
        <v>151</v>
      </c>
      <c r="F71" s="45" t="s">
        <v>87</v>
      </c>
      <c r="G71" s="46">
        <v>48</v>
      </c>
      <c r="H71" s="39">
        <v>204750.72</v>
      </c>
      <c r="I71" s="39">
        <v>5</v>
      </c>
      <c r="J71" s="39">
        <v>11964.6</v>
      </c>
      <c r="K71" s="39">
        <v>10</v>
      </c>
      <c r="L71" s="39">
        <v>21848.400000000001</v>
      </c>
      <c r="M71" s="39">
        <v>0</v>
      </c>
      <c r="N71" s="39">
        <v>0</v>
      </c>
      <c r="O71" s="39">
        <v>238563.72</v>
      </c>
      <c r="P71" s="2"/>
      <c r="Q71" s="47">
        <v>38037.119999999988</v>
      </c>
      <c r="R71" s="48">
        <v>43426.379999999976</v>
      </c>
      <c r="S71" s="48">
        <v>71569.020000000019</v>
      </c>
      <c r="T71" s="49"/>
    </row>
    <row r="72" spans="1:20" s="50" customFormat="1" x14ac:dyDescent="0.2">
      <c r="A72" s="50">
        <v>153</v>
      </c>
      <c r="B72" s="50" t="s">
        <v>88</v>
      </c>
      <c r="C72" s="50" t="b">
        <f t="shared" si="0"/>
        <v>1</v>
      </c>
      <c r="D72" s="43"/>
      <c r="E72" s="44">
        <v>153</v>
      </c>
      <c r="F72" s="45" t="s">
        <v>88</v>
      </c>
      <c r="G72" s="46">
        <v>18</v>
      </c>
      <c r="H72" s="39">
        <v>76781.52</v>
      </c>
      <c r="I72" s="39">
        <v>5</v>
      </c>
      <c r="J72" s="39">
        <v>11964.6</v>
      </c>
      <c r="K72" s="39">
        <v>2</v>
      </c>
      <c r="L72" s="39">
        <v>4369.68</v>
      </c>
      <c r="M72" s="39">
        <v>0</v>
      </c>
      <c r="N72" s="39">
        <v>0</v>
      </c>
      <c r="O72" s="39">
        <v>93115.800000000017</v>
      </c>
      <c r="P72" s="2"/>
      <c r="Q72" s="47">
        <v>22701.580000000005</v>
      </c>
      <c r="R72" s="48">
        <v>18623.179999999997</v>
      </c>
      <c r="S72" s="48">
        <v>27934.71999999999</v>
      </c>
      <c r="T72" s="49"/>
    </row>
    <row r="73" spans="1:20" s="50" customFormat="1" x14ac:dyDescent="0.2">
      <c r="A73" s="50">
        <v>155</v>
      </c>
      <c r="B73" s="50" t="s">
        <v>89</v>
      </c>
      <c r="C73" s="50" t="b">
        <f t="shared" ref="C73:C136" si="1">B73=F73</f>
        <v>1</v>
      </c>
      <c r="D73" s="43"/>
      <c r="E73" s="44">
        <v>155</v>
      </c>
      <c r="F73" s="45" t="s">
        <v>89</v>
      </c>
      <c r="G73" s="46">
        <v>0</v>
      </c>
      <c r="H73" s="39">
        <v>0</v>
      </c>
      <c r="I73" s="39">
        <v>0</v>
      </c>
      <c r="J73" s="39">
        <v>0</v>
      </c>
      <c r="K73" s="39">
        <v>0</v>
      </c>
      <c r="L73" s="39">
        <v>0</v>
      </c>
      <c r="M73" s="39">
        <v>0</v>
      </c>
      <c r="N73" s="39">
        <v>0</v>
      </c>
      <c r="O73" s="39">
        <v>0</v>
      </c>
      <c r="P73" s="2"/>
      <c r="Q73" s="47">
        <v>0</v>
      </c>
      <c r="R73" s="48">
        <v>0</v>
      </c>
      <c r="S73" s="48">
        <v>0</v>
      </c>
      <c r="T73" s="49"/>
    </row>
    <row r="74" spans="1:20" s="50" customFormat="1" x14ac:dyDescent="0.2">
      <c r="A74" s="50">
        <v>159</v>
      </c>
      <c r="B74" s="50" t="s">
        <v>90</v>
      </c>
      <c r="C74" s="50" t="b">
        <f t="shared" si="1"/>
        <v>1</v>
      </c>
      <c r="D74" s="43"/>
      <c r="E74" s="44">
        <v>159</v>
      </c>
      <c r="F74" s="45" t="s">
        <v>90</v>
      </c>
      <c r="G74" s="46">
        <v>4</v>
      </c>
      <c r="H74" s="39">
        <v>17062.560000000001</v>
      </c>
      <c r="I74" s="39">
        <v>0</v>
      </c>
      <c r="J74" s="39">
        <v>0</v>
      </c>
      <c r="K74" s="39">
        <v>0</v>
      </c>
      <c r="L74" s="39">
        <v>0</v>
      </c>
      <c r="M74" s="39">
        <v>0</v>
      </c>
      <c r="N74" s="39">
        <v>0</v>
      </c>
      <c r="O74" s="39">
        <v>17062.560000000001</v>
      </c>
      <c r="P74" s="2"/>
      <c r="Q74" s="47">
        <v>3412.52</v>
      </c>
      <c r="R74" s="48">
        <v>3412.52</v>
      </c>
      <c r="S74" s="48">
        <v>5118.76</v>
      </c>
      <c r="T74" s="49"/>
    </row>
    <row r="75" spans="1:20" s="50" customFormat="1" x14ac:dyDescent="0.2">
      <c r="A75" s="50">
        <v>161</v>
      </c>
      <c r="B75" s="50" t="s">
        <v>91</v>
      </c>
      <c r="C75" s="50" t="b">
        <f t="shared" si="1"/>
        <v>1</v>
      </c>
      <c r="D75" s="43"/>
      <c r="E75" s="44">
        <v>161</v>
      </c>
      <c r="F75" s="45" t="s">
        <v>91</v>
      </c>
      <c r="G75" s="46">
        <v>15</v>
      </c>
      <c r="H75" s="39">
        <v>63984.6</v>
      </c>
      <c r="I75" s="39">
        <v>7</v>
      </c>
      <c r="J75" s="39">
        <v>16750.439999999999</v>
      </c>
      <c r="K75" s="39">
        <v>1</v>
      </c>
      <c r="L75" s="39">
        <v>2184.84</v>
      </c>
      <c r="M75" s="39">
        <v>0</v>
      </c>
      <c r="N75" s="39">
        <v>0</v>
      </c>
      <c r="O75" s="39">
        <v>82919.87999999999</v>
      </c>
      <c r="P75" s="2"/>
      <c r="Q75" s="47">
        <v>13546.01</v>
      </c>
      <c r="R75" s="48">
        <v>16583.979999999996</v>
      </c>
      <c r="S75" s="48">
        <v>24875.959999999995</v>
      </c>
      <c r="T75" s="49"/>
    </row>
    <row r="76" spans="1:20" s="50" customFormat="1" x14ac:dyDescent="0.2">
      <c r="A76" s="50">
        <v>162</v>
      </c>
      <c r="B76" s="50" t="s">
        <v>92</v>
      </c>
      <c r="C76" s="50" t="b">
        <f t="shared" si="1"/>
        <v>1</v>
      </c>
      <c r="D76" s="43"/>
      <c r="E76" s="44">
        <v>162</v>
      </c>
      <c r="F76" s="45" t="s">
        <v>92</v>
      </c>
      <c r="G76" s="46">
        <v>0</v>
      </c>
      <c r="H76" s="39">
        <v>0</v>
      </c>
      <c r="I76" s="39">
        <v>0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39">
        <v>0</v>
      </c>
      <c r="P76" s="2"/>
      <c r="Q76" s="47">
        <v>0</v>
      </c>
      <c r="R76" s="48">
        <v>0</v>
      </c>
      <c r="S76" s="48">
        <v>0</v>
      </c>
      <c r="T76" s="49"/>
    </row>
    <row r="77" spans="1:20" s="50" customFormat="1" x14ac:dyDescent="0.2">
      <c r="A77" s="50">
        <v>163</v>
      </c>
      <c r="B77" s="50" t="s">
        <v>93</v>
      </c>
      <c r="C77" s="50" t="b">
        <f t="shared" si="1"/>
        <v>1</v>
      </c>
      <c r="D77" s="43"/>
      <c r="E77" s="44">
        <v>163</v>
      </c>
      <c r="F77" s="45" t="s">
        <v>93</v>
      </c>
      <c r="G77" s="46">
        <v>16</v>
      </c>
      <c r="H77" s="39">
        <v>68250.240000000005</v>
      </c>
      <c r="I77" s="39">
        <v>0</v>
      </c>
      <c r="J77" s="39">
        <v>0</v>
      </c>
      <c r="K77" s="39">
        <v>0</v>
      </c>
      <c r="L77" s="39">
        <v>0</v>
      </c>
      <c r="M77" s="39">
        <v>0</v>
      </c>
      <c r="N77" s="39">
        <v>0</v>
      </c>
      <c r="O77" s="39">
        <v>68250.240000000005</v>
      </c>
      <c r="P77" s="2"/>
      <c r="Q77" s="47">
        <v>13650.079999999994</v>
      </c>
      <c r="R77" s="48">
        <v>13650.079999999994</v>
      </c>
      <c r="S77" s="48">
        <v>20475.04</v>
      </c>
      <c r="T77" s="49"/>
    </row>
    <row r="78" spans="1:20" s="50" customFormat="1" x14ac:dyDescent="0.2">
      <c r="A78" s="50">
        <v>165</v>
      </c>
      <c r="B78" s="50" t="s">
        <v>94</v>
      </c>
      <c r="C78" s="50" t="b">
        <f t="shared" si="1"/>
        <v>1</v>
      </c>
      <c r="D78" s="43"/>
      <c r="E78" s="44">
        <v>165</v>
      </c>
      <c r="F78" s="45" t="s">
        <v>94</v>
      </c>
      <c r="G78" s="46">
        <v>49</v>
      </c>
      <c r="H78" s="39">
        <v>209016.36</v>
      </c>
      <c r="I78" s="39">
        <v>13</v>
      </c>
      <c r="J78" s="39">
        <v>31107.96</v>
      </c>
      <c r="K78" s="39">
        <v>8</v>
      </c>
      <c r="L78" s="39">
        <v>17478.72</v>
      </c>
      <c r="M78" s="39">
        <v>0</v>
      </c>
      <c r="N78" s="39">
        <v>0</v>
      </c>
      <c r="O78" s="39">
        <v>257603.03999999998</v>
      </c>
      <c r="P78" s="2"/>
      <c r="Q78" s="47">
        <v>45174.249999999964</v>
      </c>
      <c r="R78" s="48">
        <v>48857.249999999949</v>
      </c>
      <c r="S78" s="48">
        <v>77280.850000000035</v>
      </c>
      <c r="T78" s="49"/>
    </row>
    <row r="79" spans="1:20" s="50" customFormat="1" x14ac:dyDescent="0.2">
      <c r="A79" s="50">
        <v>167</v>
      </c>
      <c r="B79" s="50" t="s">
        <v>95</v>
      </c>
      <c r="C79" s="50" t="b">
        <f t="shared" si="1"/>
        <v>1</v>
      </c>
      <c r="D79" s="43"/>
      <c r="E79" s="44">
        <v>167</v>
      </c>
      <c r="F79" s="45" t="s">
        <v>95</v>
      </c>
      <c r="G79" s="46">
        <v>43</v>
      </c>
      <c r="H79" s="39">
        <v>183422.52</v>
      </c>
      <c r="I79" s="39">
        <v>4</v>
      </c>
      <c r="J79" s="39">
        <v>9571.68</v>
      </c>
      <c r="K79" s="39">
        <v>8</v>
      </c>
      <c r="L79" s="39">
        <v>17478.72</v>
      </c>
      <c r="M79" s="39">
        <v>0</v>
      </c>
      <c r="N79" s="39">
        <v>0</v>
      </c>
      <c r="O79" s="39">
        <v>210472.91999999998</v>
      </c>
      <c r="P79" s="2"/>
      <c r="Q79" s="47">
        <v>37704.18</v>
      </c>
      <c r="R79" s="48">
        <v>42094.669999999984</v>
      </c>
      <c r="S79" s="48">
        <v>63141.790000000052</v>
      </c>
      <c r="T79" s="49"/>
    </row>
    <row r="80" spans="1:20" s="50" customFormat="1" x14ac:dyDescent="0.2">
      <c r="A80" s="50">
        <v>171</v>
      </c>
      <c r="B80" s="50" t="s">
        <v>96</v>
      </c>
      <c r="C80" s="50" t="b">
        <f t="shared" si="1"/>
        <v>1</v>
      </c>
      <c r="D80" s="43"/>
      <c r="E80" s="44">
        <v>171</v>
      </c>
      <c r="F80" s="45" t="s">
        <v>96</v>
      </c>
      <c r="G80" s="46">
        <v>2</v>
      </c>
      <c r="H80" s="39">
        <v>8531.2800000000007</v>
      </c>
      <c r="I80" s="39">
        <v>0</v>
      </c>
      <c r="J80" s="39">
        <v>0</v>
      </c>
      <c r="K80" s="39">
        <v>0</v>
      </c>
      <c r="L80" s="39">
        <v>0</v>
      </c>
      <c r="M80" s="39">
        <v>0</v>
      </c>
      <c r="N80" s="39">
        <v>0</v>
      </c>
      <c r="O80" s="39">
        <v>8531.2800000000007</v>
      </c>
      <c r="P80" s="2"/>
      <c r="Q80" s="47">
        <v>1706.26</v>
      </c>
      <c r="R80" s="48">
        <v>1706.26</v>
      </c>
      <c r="S80" s="48">
        <v>2559.38</v>
      </c>
      <c r="T80" s="49"/>
    </row>
    <row r="81" spans="1:20" s="50" customFormat="1" x14ac:dyDescent="0.2">
      <c r="A81" s="50">
        <v>173</v>
      </c>
      <c r="B81" s="50" t="s">
        <v>97</v>
      </c>
      <c r="C81" s="50" t="b">
        <f t="shared" si="1"/>
        <v>1</v>
      </c>
      <c r="D81" s="43"/>
      <c r="E81" s="44">
        <v>173</v>
      </c>
      <c r="F81" s="45" t="s">
        <v>97</v>
      </c>
      <c r="G81" s="46">
        <v>112</v>
      </c>
      <c r="H81" s="39">
        <v>477751.68</v>
      </c>
      <c r="I81" s="39">
        <v>17</v>
      </c>
      <c r="J81" s="39">
        <v>40679.64</v>
      </c>
      <c r="K81" s="39">
        <v>14</v>
      </c>
      <c r="L81" s="39">
        <v>30587.759999999998</v>
      </c>
      <c r="M81" s="39">
        <v>0</v>
      </c>
      <c r="N81" s="39">
        <v>0</v>
      </c>
      <c r="O81" s="39">
        <v>549019.07999999996</v>
      </c>
      <c r="P81" s="2"/>
      <c r="Q81" s="47">
        <v>104185.83000000013</v>
      </c>
      <c r="R81" s="48">
        <v>109367.03000000016</v>
      </c>
      <c r="S81" s="48">
        <v>164705.54000000024</v>
      </c>
      <c r="T81" s="49"/>
    </row>
    <row r="82" spans="1:20" s="50" customFormat="1" x14ac:dyDescent="0.2">
      <c r="A82" s="50">
        <v>175</v>
      </c>
      <c r="B82" s="50" t="s">
        <v>98</v>
      </c>
      <c r="C82" s="50" t="b">
        <f t="shared" si="1"/>
        <v>1</v>
      </c>
      <c r="D82" s="43"/>
      <c r="E82" s="44">
        <v>175</v>
      </c>
      <c r="F82" s="45" t="s">
        <v>98</v>
      </c>
      <c r="G82" s="46">
        <v>47</v>
      </c>
      <c r="H82" s="39">
        <v>200485.08</v>
      </c>
      <c r="I82" s="39">
        <v>10</v>
      </c>
      <c r="J82" s="39">
        <v>23929.200000000001</v>
      </c>
      <c r="K82" s="39">
        <v>6</v>
      </c>
      <c r="L82" s="39">
        <v>13109.04</v>
      </c>
      <c r="M82" s="39">
        <v>0</v>
      </c>
      <c r="N82" s="39">
        <v>0</v>
      </c>
      <c r="O82" s="39">
        <v>237523.32</v>
      </c>
      <c r="P82" s="2"/>
      <c r="Q82" s="47">
        <v>45632.019999999975</v>
      </c>
      <c r="R82" s="48">
        <v>45694.439999999973</v>
      </c>
      <c r="S82" s="48">
        <v>71256.930000000037</v>
      </c>
      <c r="T82" s="49"/>
    </row>
    <row r="83" spans="1:20" s="50" customFormat="1" x14ac:dyDescent="0.2">
      <c r="A83" s="50">
        <v>177</v>
      </c>
      <c r="B83" s="50" t="s">
        <v>99</v>
      </c>
      <c r="C83" s="50" t="b">
        <f t="shared" si="1"/>
        <v>1</v>
      </c>
      <c r="D83" s="43"/>
      <c r="E83" s="44">
        <v>177</v>
      </c>
      <c r="F83" s="45" t="s">
        <v>99</v>
      </c>
      <c r="G83" s="46">
        <v>47</v>
      </c>
      <c r="H83" s="39">
        <v>200485.08</v>
      </c>
      <c r="I83" s="39">
        <v>6</v>
      </c>
      <c r="J83" s="39">
        <v>14357.52</v>
      </c>
      <c r="K83" s="39">
        <v>6</v>
      </c>
      <c r="L83" s="39">
        <v>13109.04</v>
      </c>
      <c r="M83" s="39">
        <v>0</v>
      </c>
      <c r="N83" s="39">
        <v>0</v>
      </c>
      <c r="O83" s="39">
        <v>227951.63999999998</v>
      </c>
      <c r="P83" s="2"/>
      <c r="Q83" s="47">
        <v>33958.720000000001</v>
      </c>
      <c r="R83" s="48">
        <v>45590.40999999996</v>
      </c>
      <c r="S83" s="48">
        <v>68385.410000000018</v>
      </c>
      <c r="T83" s="49"/>
    </row>
    <row r="84" spans="1:20" s="50" customFormat="1" x14ac:dyDescent="0.2">
      <c r="A84" s="50">
        <v>179</v>
      </c>
      <c r="B84" s="50" t="s">
        <v>100</v>
      </c>
      <c r="C84" s="50" t="b">
        <f t="shared" si="1"/>
        <v>1</v>
      </c>
      <c r="D84" s="43"/>
      <c r="E84" s="44">
        <v>179</v>
      </c>
      <c r="F84" s="45" t="s">
        <v>100</v>
      </c>
      <c r="G84" s="46">
        <v>35</v>
      </c>
      <c r="H84" s="39">
        <v>149297.4</v>
      </c>
      <c r="I84" s="39">
        <v>10</v>
      </c>
      <c r="J84" s="39">
        <v>23929.200000000001</v>
      </c>
      <c r="K84" s="39">
        <v>0</v>
      </c>
      <c r="L84" s="39">
        <v>0</v>
      </c>
      <c r="M84" s="39">
        <v>0</v>
      </c>
      <c r="N84" s="39">
        <v>0</v>
      </c>
      <c r="O84" s="39">
        <v>173226.6</v>
      </c>
      <c r="P84" s="2"/>
      <c r="Q84" s="47">
        <v>34645.35</v>
      </c>
      <c r="R84" s="48">
        <v>34645.35</v>
      </c>
      <c r="S84" s="48">
        <v>51967.950000000019</v>
      </c>
      <c r="T84" s="49"/>
    </row>
    <row r="85" spans="1:20" s="50" customFormat="1" x14ac:dyDescent="0.2">
      <c r="A85" s="50">
        <v>183</v>
      </c>
      <c r="B85" s="51" t="s">
        <v>101</v>
      </c>
      <c r="C85" s="52" t="b">
        <f t="shared" si="1"/>
        <v>1</v>
      </c>
      <c r="D85" s="43"/>
      <c r="E85" s="44">
        <v>183</v>
      </c>
      <c r="F85" s="45" t="s">
        <v>101</v>
      </c>
      <c r="G85" s="46">
        <v>5</v>
      </c>
      <c r="H85" s="39">
        <v>21328.2</v>
      </c>
      <c r="I85" s="39">
        <v>2</v>
      </c>
      <c r="J85" s="39">
        <v>4785.84</v>
      </c>
      <c r="K85" s="39">
        <v>1</v>
      </c>
      <c r="L85" s="39">
        <v>2184.84</v>
      </c>
      <c r="M85" s="39">
        <v>0</v>
      </c>
      <c r="N85" s="39">
        <v>0</v>
      </c>
      <c r="O85" s="39">
        <v>28298.880000000001</v>
      </c>
      <c r="P85" s="2"/>
      <c r="Q85" s="47">
        <v>5659.78</v>
      </c>
      <c r="R85" s="48">
        <v>5659.78</v>
      </c>
      <c r="S85" s="48">
        <v>8489.66</v>
      </c>
      <c r="T85" s="49"/>
    </row>
    <row r="86" spans="1:20" s="50" customFormat="1" x14ac:dyDescent="0.2">
      <c r="A86" s="50">
        <v>185</v>
      </c>
      <c r="B86" s="50" t="s">
        <v>102</v>
      </c>
      <c r="C86" s="50" t="b">
        <f t="shared" si="1"/>
        <v>1</v>
      </c>
      <c r="D86" s="43"/>
      <c r="E86" s="44">
        <v>185</v>
      </c>
      <c r="F86" s="45" t="s">
        <v>102</v>
      </c>
      <c r="G86" s="46">
        <v>88</v>
      </c>
      <c r="H86" s="39">
        <v>375376.32</v>
      </c>
      <c r="I86" s="39">
        <v>21</v>
      </c>
      <c r="J86" s="39">
        <v>50251.32</v>
      </c>
      <c r="K86" s="39">
        <v>4</v>
      </c>
      <c r="L86" s="39">
        <v>8739.36</v>
      </c>
      <c r="M86" s="39">
        <v>0</v>
      </c>
      <c r="N86" s="39">
        <v>0</v>
      </c>
      <c r="O86" s="39">
        <v>434367</v>
      </c>
      <c r="P86" s="2"/>
      <c r="Q86" s="47">
        <v>83585.86000000003</v>
      </c>
      <c r="R86" s="48">
        <v>86873.500000000058</v>
      </c>
      <c r="S86" s="48">
        <v>130310.00000000015</v>
      </c>
      <c r="T86" s="49"/>
    </row>
    <row r="87" spans="1:20" s="50" customFormat="1" x14ac:dyDescent="0.2">
      <c r="A87" s="50">
        <v>187</v>
      </c>
      <c r="B87" s="50" t="s">
        <v>103</v>
      </c>
      <c r="C87" s="50" t="b">
        <f t="shared" si="1"/>
        <v>1</v>
      </c>
      <c r="D87" s="43"/>
      <c r="E87" s="44">
        <v>187</v>
      </c>
      <c r="F87" s="45" t="s">
        <v>103</v>
      </c>
      <c r="G87" s="46">
        <v>4</v>
      </c>
      <c r="H87" s="39">
        <v>17062.560000000001</v>
      </c>
      <c r="I87" s="39">
        <v>0</v>
      </c>
      <c r="J87" s="39">
        <v>0</v>
      </c>
      <c r="K87" s="39">
        <v>0</v>
      </c>
      <c r="L87" s="39">
        <v>0</v>
      </c>
      <c r="M87" s="39">
        <v>0</v>
      </c>
      <c r="N87" s="39">
        <v>0</v>
      </c>
      <c r="O87" s="39">
        <v>17062.560000000001</v>
      </c>
      <c r="P87" s="2"/>
      <c r="Q87" s="47">
        <v>2559.39</v>
      </c>
      <c r="R87" s="48">
        <v>3412.52</v>
      </c>
      <c r="S87" s="48">
        <v>5118.76</v>
      </c>
      <c r="T87" s="49"/>
    </row>
    <row r="88" spans="1:20" s="50" customFormat="1" x14ac:dyDescent="0.2">
      <c r="A88" s="50">
        <v>189</v>
      </c>
      <c r="B88" s="50" t="s">
        <v>104</v>
      </c>
      <c r="C88" s="50" t="b">
        <f t="shared" si="1"/>
        <v>1</v>
      </c>
      <c r="D88" s="43"/>
      <c r="E88" s="44">
        <v>189</v>
      </c>
      <c r="F88" s="45" t="s">
        <v>104</v>
      </c>
      <c r="G88" s="46">
        <v>15</v>
      </c>
      <c r="H88" s="39">
        <v>63984.6</v>
      </c>
      <c r="I88" s="39">
        <v>1</v>
      </c>
      <c r="J88" s="39">
        <v>2392.92</v>
      </c>
      <c r="K88" s="39">
        <v>2</v>
      </c>
      <c r="L88" s="39">
        <v>4369.68</v>
      </c>
      <c r="M88" s="39">
        <v>0</v>
      </c>
      <c r="N88" s="39">
        <v>0</v>
      </c>
      <c r="O88" s="39">
        <v>70747.200000000012</v>
      </c>
      <c r="P88" s="2"/>
      <c r="Q88" s="47">
        <v>13712.499999999996</v>
      </c>
      <c r="R88" s="48">
        <v>14149.469999999996</v>
      </c>
      <c r="S88" s="48">
        <v>21224.129999999997</v>
      </c>
      <c r="T88" s="49"/>
    </row>
    <row r="89" spans="1:20" s="50" customFormat="1" x14ac:dyDescent="0.2">
      <c r="A89" s="50">
        <v>191</v>
      </c>
      <c r="B89" s="50" t="s">
        <v>105</v>
      </c>
      <c r="C89" s="50" t="b">
        <f t="shared" si="1"/>
        <v>1</v>
      </c>
      <c r="D89" s="43"/>
      <c r="E89" s="44">
        <v>191</v>
      </c>
      <c r="F89" s="45" t="s">
        <v>105</v>
      </c>
      <c r="G89" s="46">
        <v>44</v>
      </c>
      <c r="H89" s="39">
        <v>187688.16</v>
      </c>
      <c r="I89" s="39">
        <v>9</v>
      </c>
      <c r="J89" s="39">
        <v>21536.28</v>
      </c>
      <c r="K89" s="39">
        <v>3</v>
      </c>
      <c r="L89" s="39">
        <v>6554.52</v>
      </c>
      <c r="M89" s="39">
        <v>0</v>
      </c>
      <c r="N89" s="39">
        <v>0</v>
      </c>
      <c r="O89" s="39">
        <v>215778.96</v>
      </c>
      <c r="P89" s="2"/>
      <c r="Q89" s="47">
        <v>38307.589999999989</v>
      </c>
      <c r="R89" s="48">
        <v>40596.459999999985</v>
      </c>
      <c r="S89" s="48">
        <v>64733.630000000026</v>
      </c>
      <c r="T89" s="49"/>
    </row>
    <row r="90" spans="1:20" s="50" customFormat="1" x14ac:dyDescent="0.2">
      <c r="A90" s="50">
        <v>195</v>
      </c>
      <c r="B90" s="50" t="s">
        <v>106</v>
      </c>
      <c r="C90" s="50" t="b">
        <f t="shared" si="1"/>
        <v>1</v>
      </c>
      <c r="D90" s="43"/>
      <c r="E90" s="44">
        <v>195</v>
      </c>
      <c r="F90" s="45" t="s">
        <v>106</v>
      </c>
      <c r="G90" s="46">
        <v>32</v>
      </c>
      <c r="H90" s="39">
        <v>136500.48000000001</v>
      </c>
      <c r="I90" s="39">
        <v>0</v>
      </c>
      <c r="J90" s="39">
        <v>0</v>
      </c>
      <c r="K90" s="39">
        <v>0</v>
      </c>
      <c r="L90" s="39">
        <v>0</v>
      </c>
      <c r="M90" s="39">
        <v>0</v>
      </c>
      <c r="N90" s="39">
        <v>0</v>
      </c>
      <c r="O90" s="39">
        <v>136500.48000000001</v>
      </c>
      <c r="P90" s="2"/>
      <c r="Q90" s="47">
        <v>26447.030000000002</v>
      </c>
      <c r="R90" s="48">
        <v>27300.160000000003</v>
      </c>
      <c r="S90" s="48">
        <v>40950.080000000002</v>
      </c>
      <c r="T90" s="49"/>
    </row>
    <row r="91" spans="1:20" s="50" customFormat="1" x14ac:dyDescent="0.2">
      <c r="A91" s="50">
        <v>197</v>
      </c>
      <c r="B91" s="50" t="s">
        <v>107</v>
      </c>
      <c r="C91" s="50" t="b">
        <f t="shared" si="1"/>
        <v>1</v>
      </c>
      <c r="D91" s="43"/>
      <c r="E91" s="44">
        <v>197</v>
      </c>
      <c r="F91" s="45" t="s">
        <v>107</v>
      </c>
      <c r="G91" s="46">
        <v>2</v>
      </c>
      <c r="H91" s="39">
        <v>8531.2800000000007</v>
      </c>
      <c r="I91" s="39">
        <v>0</v>
      </c>
      <c r="J91" s="39">
        <v>0</v>
      </c>
      <c r="K91" s="39">
        <v>0</v>
      </c>
      <c r="L91" s="39">
        <v>0</v>
      </c>
      <c r="M91" s="39">
        <v>0</v>
      </c>
      <c r="N91" s="39">
        <v>0</v>
      </c>
      <c r="O91" s="39">
        <v>8531.2800000000007</v>
      </c>
      <c r="P91" s="2"/>
      <c r="Q91" s="47">
        <v>1706.26</v>
      </c>
      <c r="R91" s="48">
        <v>1706.26</v>
      </c>
      <c r="S91" s="48">
        <v>2559.38</v>
      </c>
      <c r="T91" s="49"/>
    </row>
    <row r="92" spans="1:20" s="50" customFormat="1" x14ac:dyDescent="0.2">
      <c r="A92" s="50">
        <v>199</v>
      </c>
      <c r="B92" s="50" t="s">
        <v>108</v>
      </c>
      <c r="C92" s="50" t="b">
        <f t="shared" si="1"/>
        <v>1</v>
      </c>
      <c r="D92" s="43"/>
      <c r="E92" s="44">
        <v>199</v>
      </c>
      <c r="F92" s="45" t="s">
        <v>108</v>
      </c>
      <c r="G92" s="46">
        <v>127</v>
      </c>
      <c r="H92" s="39">
        <v>541736.28</v>
      </c>
      <c r="I92" s="39">
        <v>17</v>
      </c>
      <c r="J92" s="39">
        <v>40679.64</v>
      </c>
      <c r="K92" s="39">
        <v>20</v>
      </c>
      <c r="L92" s="39">
        <v>43696.800000000003</v>
      </c>
      <c r="M92" s="39">
        <v>0</v>
      </c>
      <c r="N92" s="39">
        <v>0</v>
      </c>
      <c r="O92" s="39">
        <v>626112.72000000009</v>
      </c>
      <c r="P92" s="2"/>
      <c r="Q92" s="47">
        <v>118543.41000000022</v>
      </c>
      <c r="R92" s="48">
        <v>122163.99000000025</v>
      </c>
      <c r="S92" s="48">
        <v>187833.59000000029</v>
      </c>
      <c r="T92" s="49"/>
    </row>
    <row r="93" spans="1:20" s="50" customFormat="1" x14ac:dyDescent="0.2">
      <c r="A93" s="50">
        <v>201</v>
      </c>
      <c r="B93" s="50" t="s">
        <v>109</v>
      </c>
      <c r="C93" s="50" t="b">
        <f t="shared" si="1"/>
        <v>1</v>
      </c>
      <c r="D93" s="43"/>
      <c r="E93" s="44">
        <v>201</v>
      </c>
      <c r="F93" s="45" t="s">
        <v>109</v>
      </c>
      <c r="G93" s="46">
        <v>36</v>
      </c>
      <c r="H93" s="39">
        <v>153563.04</v>
      </c>
      <c r="I93" s="39">
        <v>13</v>
      </c>
      <c r="J93" s="39">
        <v>31107.96</v>
      </c>
      <c r="K93" s="39">
        <v>5</v>
      </c>
      <c r="L93" s="39">
        <v>10924.2</v>
      </c>
      <c r="M93" s="39">
        <v>0</v>
      </c>
      <c r="N93" s="39">
        <v>0</v>
      </c>
      <c r="O93" s="39">
        <v>195595.2</v>
      </c>
      <c r="P93" s="2"/>
      <c r="Q93" s="47">
        <v>33417.680000000008</v>
      </c>
      <c r="R93" s="48">
        <v>39119.07</v>
      </c>
      <c r="S93" s="48">
        <v>58678.530000000028</v>
      </c>
      <c r="T93" s="49"/>
    </row>
    <row r="94" spans="1:20" s="50" customFormat="1" x14ac:dyDescent="0.2">
      <c r="A94" s="50">
        <v>203</v>
      </c>
      <c r="B94" s="50" t="s">
        <v>110</v>
      </c>
      <c r="C94" s="50" t="b">
        <f t="shared" si="1"/>
        <v>1</v>
      </c>
      <c r="D94" s="43"/>
      <c r="E94" s="44">
        <v>203</v>
      </c>
      <c r="F94" s="45" t="s">
        <v>110</v>
      </c>
      <c r="G94" s="46">
        <v>12</v>
      </c>
      <c r="H94" s="39">
        <v>51187.68</v>
      </c>
      <c r="I94" s="39">
        <v>0</v>
      </c>
      <c r="J94" s="39">
        <v>0</v>
      </c>
      <c r="K94" s="39">
        <v>0</v>
      </c>
      <c r="L94" s="39">
        <v>0</v>
      </c>
      <c r="M94" s="39">
        <v>0</v>
      </c>
      <c r="N94" s="39">
        <v>0</v>
      </c>
      <c r="O94" s="39">
        <v>51187.68</v>
      </c>
      <c r="P94" s="2"/>
      <c r="Q94" s="47">
        <v>10237.559999999998</v>
      </c>
      <c r="R94" s="48">
        <v>10237.559999999998</v>
      </c>
      <c r="S94" s="48">
        <v>15356.280000000004</v>
      </c>
      <c r="T94" s="49"/>
    </row>
    <row r="95" spans="1:20" s="50" customFormat="1" x14ac:dyDescent="0.2">
      <c r="A95" s="50">
        <v>209</v>
      </c>
      <c r="B95" s="50" t="s">
        <v>111</v>
      </c>
      <c r="C95" s="50" t="b">
        <f t="shared" si="1"/>
        <v>1</v>
      </c>
      <c r="D95" s="43"/>
      <c r="E95" s="44">
        <v>209</v>
      </c>
      <c r="F95" s="45" t="s">
        <v>111</v>
      </c>
      <c r="G95" s="46">
        <v>19</v>
      </c>
      <c r="H95" s="39">
        <v>81047.16</v>
      </c>
      <c r="I95" s="39">
        <v>6</v>
      </c>
      <c r="J95" s="39">
        <v>14357.52</v>
      </c>
      <c r="K95" s="39">
        <v>1</v>
      </c>
      <c r="L95" s="39">
        <v>2184.84</v>
      </c>
      <c r="M95" s="39">
        <v>0</v>
      </c>
      <c r="N95" s="39">
        <v>0</v>
      </c>
      <c r="O95" s="39">
        <v>97589.52</v>
      </c>
      <c r="P95" s="2"/>
      <c r="Q95" s="47">
        <v>17270.659999999996</v>
      </c>
      <c r="R95" s="48">
        <v>19039.34</v>
      </c>
      <c r="S95" s="48">
        <v>29276.839999999993</v>
      </c>
      <c r="T95" s="49"/>
    </row>
    <row r="96" spans="1:20" s="50" customFormat="1" x14ac:dyDescent="0.2">
      <c r="A96" s="50">
        <v>211</v>
      </c>
      <c r="B96" s="50" t="s">
        <v>112</v>
      </c>
      <c r="C96" s="50" t="b">
        <f t="shared" si="1"/>
        <v>1</v>
      </c>
      <c r="D96" s="43"/>
      <c r="E96" s="44">
        <v>211</v>
      </c>
      <c r="F96" s="45" t="s">
        <v>112</v>
      </c>
      <c r="G96" s="46">
        <v>16</v>
      </c>
      <c r="H96" s="39">
        <v>68250.240000000005</v>
      </c>
      <c r="I96" s="39">
        <v>6</v>
      </c>
      <c r="J96" s="39">
        <v>14357.52</v>
      </c>
      <c r="K96" s="39">
        <v>0</v>
      </c>
      <c r="L96" s="39">
        <v>0</v>
      </c>
      <c r="M96" s="39">
        <v>0</v>
      </c>
      <c r="N96" s="39">
        <v>0</v>
      </c>
      <c r="O96" s="39">
        <v>82607.760000000009</v>
      </c>
      <c r="P96" s="2"/>
      <c r="Q96" s="47">
        <v>12526.429999999995</v>
      </c>
      <c r="R96" s="48">
        <v>16521.559999999998</v>
      </c>
      <c r="S96" s="48">
        <v>24782.319999999996</v>
      </c>
      <c r="T96" s="49"/>
    </row>
    <row r="97" spans="1:20" s="50" customFormat="1" x14ac:dyDescent="0.2">
      <c r="A97" s="50">
        <v>213</v>
      </c>
      <c r="B97" s="50" t="s">
        <v>113</v>
      </c>
      <c r="C97" s="50" t="b">
        <f t="shared" si="1"/>
        <v>1</v>
      </c>
      <c r="D97" s="43"/>
      <c r="E97" s="44">
        <v>213</v>
      </c>
      <c r="F97" s="45" t="s">
        <v>113</v>
      </c>
      <c r="G97" s="46">
        <v>21</v>
      </c>
      <c r="H97" s="39">
        <v>89578.44</v>
      </c>
      <c r="I97" s="39">
        <v>4</v>
      </c>
      <c r="J97" s="39">
        <v>9571.68</v>
      </c>
      <c r="K97" s="39">
        <v>0</v>
      </c>
      <c r="L97" s="39">
        <v>0</v>
      </c>
      <c r="M97" s="39">
        <v>0</v>
      </c>
      <c r="N97" s="39">
        <v>0</v>
      </c>
      <c r="O97" s="39">
        <v>99150.12</v>
      </c>
      <c r="P97" s="2"/>
      <c r="Q97" s="47">
        <v>19455.499999999996</v>
      </c>
      <c r="R97" s="48">
        <v>20308.629999999997</v>
      </c>
      <c r="S97" s="48">
        <v>29745.009999999991</v>
      </c>
      <c r="T97" s="49"/>
    </row>
    <row r="98" spans="1:20" s="50" customFormat="1" x14ac:dyDescent="0.2">
      <c r="A98" s="50">
        <v>215</v>
      </c>
      <c r="B98" s="50" t="s">
        <v>114</v>
      </c>
      <c r="C98" s="50" t="b">
        <f t="shared" si="1"/>
        <v>1</v>
      </c>
      <c r="D98" s="43"/>
      <c r="E98" s="44">
        <v>215</v>
      </c>
      <c r="F98" s="45" t="s">
        <v>114</v>
      </c>
      <c r="G98" s="46">
        <v>34</v>
      </c>
      <c r="H98" s="39">
        <v>145031.76</v>
      </c>
      <c r="I98" s="39">
        <v>0</v>
      </c>
      <c r="J98" s="39">
        <v>0</v>
      </c>
      <c r="K98" s="39">
        <v>4</v>
      </c>
      <c r="L98" s="39">
        <v>8739.36</v>
      </c>
      <c r="M98" s="39">
        <v>0</v>
      </c>
      <c r="N98" s="39">
        <v>0</v>
      </c>
      <c r="O98" s="39">
        <v>153771.12</v>
      </c>
      <c r="P98" s="2"/>
      <c r="Q98" s="47">
        <v>25198.550000000007</v>
      </c>
      <c r="R98" s="48">
        <v>30754.30000000001</v>
      </c>
      <c r="S98" s="48">
        <v>46131.260000000009</v>
      </c>
      <c r="T98" s="49"/>
    </row>
    <row r="99" spans="1:20" s="50" customFormat="1" x14ac:dyDescent="0.2">
      <c r="A99" s="50">
        <v>219</v>
      </c>
      <c r="B99" s="50" t="s">
        <v>115</v>
      </c>
      <c r="C99" s="50" t="b">
        <f t="shared" si="1"/>
        <v>1</v>
      </c>
      <c r="D99" s="43"/>
      <c r="E99" s="44">
        <v>219</v>
      </c>
      <c r="F99" s="45" t="s">
        <v>115</v>
      </c>
      <c r="G99" s="46">
        <v>18</v>
      </c>
      <c r="H99" s="39">
        <v>76781.52</v>
      </c>
      <c r="I99" s="39">
        <v>8</v>
      </c>
      <c r="J99" s="39">
        <v>19143.36</v>
      </c>
      <c r="K99" s="39">
        <v>1</v>
      </c>
      <c r="L99" s="39">
        <v>2184.84</v>
      </c>
      <c r="M99" s="39">
        <v>0</v>
      </c>
      <c r="N99" s="39">
        <v>0</v>
      </c>
      <c r="O99" s="39">
        <v>98109.72</v>
      </c>
      <c r="P99" s="2"/>
      <c r="Q99" s="47">
        <v>23617.08</v>
      </c>
      <c r="R99" s="48">
        <v>19621.949999999997</v>
      </c>
      <c r="S99" s="48">
        <v>29432.909999999993</v>
      </c>
      <c r="T99" s="49"/>
    </row>
    <row r="100" spans="1:20" s="50" customFormat="1" x14ac:dyDescent="0.2">
      <c r="A100" s="50">
        <v>221</v>
      </c>
      <c r="B100" s="50" t="s">
        <v>116</v>
      </c>
      <c r="C100" s="50" t="b">
        <f t="shared" si="1"/>
        <v>1</v>
      </c>
      <c r="D100" s="43"/>
      <c r="E100" s="44">
        <v>221</v>
      </c>
      <c r="F100" s="45" t="s">
        <v>116</v>
      </c>
      <c r="G100" s="46">
        <v>0</v>
      </c>
      <c r="H100" s="39">
        <v>0</v>
      </c>
      <c r="I100" s="39">
        <v>0</v>
      </c>
      <c r="J100" s="39">
        <v>0</v>
      </c>
      <c r="K100" s="39">
        <v>0</v>
      </c>
      <c r="L100" s="39">
        <v>0</v>
      </c>
      <c r="M100" s="39">
        <v>0</v>
      </c>
      <c r="N100" s="39">
        <v>0</v>
      </c>
      <c r="O100" s="39">
        <v>0</v>
      </c>
      <c r="P100" s="2"/>
      <c r="Q100" s="47">
        <v>0</v>
      </c>
      <c r="R100" s="48">
        <v>0</v>
      </c>
      <c r="S100" s="48">
        <v>0</v>
      </c>
      <c r="T100" s="49"/>
    </row>
    <row r="101" spans="1:20" s="50" customFormat="1" x14ac:dyDescent="0.2">
      <c r="A101" s="50">
        <v>222</v>
      </c>
      <c r="B101" s="50" t="s">
        <v>117</v>
      </c>
      <c r="C101" s="50" t="b">
        <f t="shared" si="1"/>
        <v>1</v>
      </c>
      <c r="D101" s="43"/>
      <c r="E101" s="44">
        <v>222</v>
      </c>
      <c r="F101" s="45" t="s">
        <v>117</v>
      </c>
      <c r="G101" s="46">
        <v>0</v>
      </c>
      <c r="H101" s="39">
        <v>0</v>
      </c>
      <c r="I101" s="39">
        <v>0</v>
      </c>
      <c r="J101" s="39">
        <v>0</v>
      </c>
      <c r="K101" s="39">
        <v>0</v>
      </c>
      <c r="L101" s="39">
        <v>0</v>
      </c>
      <c r="M101" s="39">
        <v>0</v>
      </c>
      <c r="N101" s="39">
        <v>0</v>
      </c>
      <c r="O101" s="39">
        <v>0</v>
      </c>
      <c r="P101" s="2"/>
      <c r="Q101" s="47">
        <v>0</v>
      </c>
      <c r="R101" s="48">
        <v>0</v>
      </c>
      <c r="S101" s="48">
        <v>0</v>
      </c>
      <c r="T101" s="49"/>
    </row>
    <row r="102" spans="1:20" s="50" customFormat="1" x14ac:dyDescent="0.2">
      <c r="A102" s="50">
        <v>223</v>
      </c>
      <c r="B102" s="50" t="s">
        <v>118</v>
      </c>
      <c r="C102" s="50" t="b">
        <f t="shared" si="1"/>
        <v>1</v>
      </c>
      <c r="D102" s="43"/>
      <c r="E102" s="44">
        <v>223</v>
      </c>
      <c r="F102" s="45" t="s">
        <v>118</v>
      </c>
      <c r="G102" s="46">
        <v>25</v>
      </c>
      <c r="H102" s="39">
        <v>106641</v>
      </c>
      <c r="I102" s="39">
        <v>5</v>
      </c>
      <c r="J102" s="39">
        <v>11964.6</v>
      </c>
      <c r="K102" s="39">
        <v>2</v>
      </c>
      <c r="L102" s="39">
        <v>4369.68</v>
      </c>
      <c r="M102" s="39">
        <v>0</v>
      </c>
      <c r="N102" s="39">
        <v>0</v>
      </c>
      <c r="O102" s="39">
        <v>122975.28</v>
      </c>
      <c r="P102" s="2"/>
      <c r="Q102" s="47">
        <v>22389.440000000006</v>
      </c>
      <c r="R102" s="48">
        <v>24595.090000000007</v>
      </c>
      <c r="S102" s="48">
        <v>36892.550000000003</v>
      </c>
      <c r="T102" s="49"/>
    </row>
    <row r="103" spans="1:20" s="50" customFormat="1" x14ac:dyDescent="0.2">
      <c r="A103" s="50">
        <v>225</v>
      </c>
      <c r="B103" s="50" t="s">
        <v>119</v>
      </c>
      <c r="C103" s="50" t="b">
        <f t="shared" si="1"/>
        <v>1</v>
      </c>
      <c r="D103" s="43"/>
      <c r="E103" s="44">
        <v>225</v>
      </c>
      <c r="F103" s="45" t="s">
        <v>119</v>
      </c>
      <c r="G103" s="46">
        <v>76</v>
      </c>
      <c r="H103" s="39">
        <v>324188.64</v>
      </c>
      <c r="I103" s="39">
        <v>1</v>
      </c>
      <c r="J103" s="39">
        <v>2392.92</v>
      </c>
      <c r="K103" s="39">
        <v>9</v>
      </c>
      <c r="L103" s="39">
        <v>19663.560000000001</v>
      </c>
      <c r="M103" s="39">
        <v>0</v>
      </c>
      <c r="N103" s="39">
        <v>0</v>
      </c>
      <c r="O103" s="39">
        <v>346245.12</v>
      </c>
      <c r="P103" s="2"/>
      <c r="Q103" s="47">
        <v>67105.959999999919</v>
      </c>
      <c r="R103" s="48">
        <v>68396.059999999925</v>
      </c>
      <c r="S103" s="48">
        <v>103873.3700000001</v>
      </c>
      <c r="T103" s="49"/>
    </row>
    <row r="104" spans="1:20" s="50" customFormat="1" x14ac:dyDescent="0.2">
      <c r="A104" s="50">
        <v>227</v>
      </c>
      <c r="B104" s="50" t="s">
        <v>120</v>
      </c>
      <c r="C104" s="50" t="b">
        <f t="shared" si="1"/>
        <v>1</v>
      </c>
      <c r="D104" s="43"/>
      <c r="E104" s="44">
        <v>227</v>
      </c>
      <c r="F104" s="45" t="s">
        <v>120</v>
      </c>
      <c r="G104" s="46">
        <v>32</v>
      </c>
      <c r="H104" s="39">
        <v>136500.48000000001</v>
      </c>
      <c r="I104" s="39">
        <v>0</v>
      </c>
      <c r="J104" s="39">
        <v>0</v>
      </c>
      <c r="K104" s="39">
        <v>3</v>
      </c>
      <c r="L104" s="39">
        <v>6554.52</v>
      </c>
      <c r="M104" s="39">
        <v>0</v>
      </c>
      <c r="N104" s="39">
        <v>0</v>
      </c>
      <c r="O104" s="39">
        <v>143055</v>
      </c>
      <c r="P104" s="2"/>
      <c r="Q104" s="47">
        <v>29464.200000000004</v>
      </c>
      <c r="R104" s="48">
        <v>28611.070000000003</v>
      </c>
      <c r="S104" s="48">
        <v>42916.43</v>
      </c>
      <c r="T104" s="49"/>
    </row>
    <row r="105" spans="1:20" s="50" customFormat="1" x14ac:dyDescent="0.2">
      <c r="A105" s="50">
        <v>231</v>
      </c>
      <c r="B105" s="50" t="s">
        <v>121</v>
      </c>
      <c r="C105" s="50" t="b">
        <f t="shared" si="1"/>
        <v>1</v>
      </c>
      <c r="D105" s="43"/>
      <c r="E105" s="44">
        <v>231</v>
      </c>
      <c r="F105" s="45" t="s">
        <v>121</v>
      </c>
      <c r="G105" s="46">
        <v>22</v>
      </c>
      <c r="H105" s="39">
        <v>93844.08</v>
      </c>
      <c r="I105" s="39">
        <v>3</v>
      </c>
      <c r="J105" s="39">
        <v>7178.76</v>
      </c>
      <c r="K105" s="39">
        <v>1</v>
      </c>
      <c r="L105" s="39">
        <v>2184.84</v>
      </c>
      <c r="M105" s="39">
        <v>0</v>
      </c>
      <c r="N105" s="39">
        <v>0</v>
      </c>
      <c r="O105" s="39">
        <v>103207.67999999999</v>
      </c>
      <c r="P105" s="2"/>
      <c r="Q105" s="47">
        <v>19309.859999999997</v>
      </c>
      <c r="R105" s="48">
        <v>20641.57</v>
      </c>
      <c r="S105" s="48">
        <v>30962.26999999999</v>
      </c>
      <c r="T105" s="49"/>
    </row>
    <row r="106" spans="1:20" s="50" customFormat="1" x14ac:dyDescent="0.2">
      <c r="A106" s="50">
        <v>233</v>
      </c>
      <c r="B106" s="51" t="s">
        <v>122</v>
      </c>
      <c r="C106" s="52" t="b">
        <f t="shared" si="1"/>
        <v>1</v>
      </c>
      <c r="D106" s="43"/>
      <c r="E106" s="44">
        <v>233</v>
      </c>
      <c r="F106" s="45" t="s">
        <v>122</v>
      </c>
      <c r="G106" s="46">
        <v>23</v>
      </c>
      <c r="H106" s="39">
        <v>98109.72</v>
      </c>
      <c r="I106" s="39">
        <v>0</v>
      </c>
      <c r="J106" s="39">
        <v>0</v>
      </c>
      <c r="K106" s="39">
        <v>2</v>
      </c>
      <c r="L106" s="39">
        <v>4369.68</v>
      </c>
      <c r="M106" s="39">
        <v>0</v>
      </c>
      <c r="N106" s="39">
        <v>0</v>
      </c>
      <c r="O106" s="39">
        <v>102479.4</v>
      </c>
      <c r="P106" s="2"/>
      <c r="Q106" s="47">
        <v>15793.309999999994</v>
      </c>
      <c r="R106" s="48">
        <v>19642.799999999996</v>
      </c>
      <c r="S106" s="48">
        <v>30743.76999999999</v>
      </c>
      <c r="T106" s="49"/>
    </row>
    <row r="107" spans="1:20" s="50" customFormat="1" x14ac:dyDescent="0.2">
      <c r="A107" s="50">
        <v>235</v>
      </c>
      <c r="B107" s="50" t="s">
        <v>123</v>
      </c>
      <c r="C107" s="50" t="b">
        <f t="shared" si="1"/>
        <v>1</v>
      </c>
      <c r="D107" s="43"/>
      <c r="E107" s="44">
        <v>235</v>
      </c>
      <c r="F107" s="45" t="s">
        <v>123</v>
      </c>
      <c r="G107" s="46">
        <v>15</v>
      </c>
      <c r="H107" s="39">
        <v>63984.6</v>
      </c>
      <c r="I107" s="39">
        <v>7</v>
      </c>
      <c r="J107" s="39">
        <v>16750.439999999999</v>
      </c>
      <c r="K107" s="39">
        <v>1</v>
      </c>
      <c r="L107" s="39">
        <v>2184.84</v>
      </c>
      <c r="M107" s="39">
        <v>0</v>
      </c>
      <c r="N107" s="39">
        <v>0</v>
      </c>
      <c r="O107" s="39">
        <v>82919.87999999999</v>
      </c>
      <c r="P107" s="2"/>
      <c r="Q107" s="47">
        <v>17437.109999999997</v>
      </c>
      <c r="R107" s="48">
        <v>16583.98</v>
      </c>
      <c r="S107" s="48">
        <v>24875.959999999995</v>
      </c>
      <c r="T107" s="49"/>
    </row>
    <row r="108" spans="1:20" s="50" customFormat="1" x14ac:dyDescent="0.2">
      <c r="A108" s="50">
        <v>236</v>
      </c>
      <c r="B108" s="50" t="s">
        <v>124</v>
      </c>
      <c r="C108" s="50" t="b">
        <f t="shared" si="1"/>
        <v>1</v>
      </c>
      <c r="D108" s="43"/>
      <c r="E108" s="44">
        <v>236</v>
      </c>
      <c r="F108" s="45" t="s">
        <v>124</v>
      </c>
      <c r="G108" s="46">
        <v>0</v>
      </c>
      <c r="H108" s="39">
        <v>0</v>
      </c>
      <c r="I108" s="39">
        <v>0</v>
      </c>
      <c r="J108" s="39">
        <v>0</v>
      </c>
      <c r="K108" s="39">
        <v>0</v>
      </c>
      <c r="L108" s="39">
        <v>0</v>
      </c>
      <c r="M108" s="39">
        <v>0</v>
      </c>
      <c r="N108" s="39">
        <v>0</v>
      </c>
      <c r="O108" s="39">
        <v>0</v>
      </c>
      <c r="P108" s="2"/>
      <c r="Q108" s="47">
        <v>0</v>
      </c>
      <c r="R108" s="48">
        <v>0</v>
      </c>
      <c r="S108" s="48">
        <v>0</v>
      </c>
      <c r="T108" s="49"/>
    </row>
    <row r="109" spans="1:20" s="50" customFormat="1" x14ac:dyDescent="0.2">
      <c r="A109" s="50">
        <v>238</v>
      </c>
      <c r="B109" s="50" t="s">
        <v>125</v>
      </c>
      <c r="C109" s="50" t="b">
        <f t="shared" si="1"/>
        <v>1</v>
      </c>
      <c r="D109" s="43"/>
      <c r="E109" s="44">
        <v>238</v>
      </c>
      <c r="F109" s="45" t="s">
        <v>125</v>
      </c>
      <c r="G109" s="46">
        <v>37</v>
      </c>
      <c r="H109" s="39">
        <v>157828.68</v>
      </c>
      <c r="I109" s="39">
        <v>8</v>
      </c>
      <c r="J109" s="39">
        <v>19143.36</v>
      </c>
      <c r="K109" s="39">
        <v>4</v>
      </c>
      <c r="L109" s="39">
        <v>8739.36</v>
      </c>
      <c r="M109" s="39">
        <v>0</v>
      </c>
      <c r="N109" s="39">
        <v>0</v>
      </c>
      <c r="O109" s="39">
        <v>185711.39999999997</v>
      </c>
      <c r="P109" s="2"/>
      <c r="Q109" s="47">
        <v>36185.169999999991</v>
      </c>
      <c r="R109" s="48">
        <v>36289.199999999997</v>
      </c>
      <c r="S109" s="48">
        <v>55713.37000000001</v>
      </c>
      <c r="T109" s="49"/>
    </row>
    <row r="110" spans="1:20" s="50" customFormat="1" x14ac:dyDescent="0.2">
      <c r="A110" s="50">
        <v>243</v>
      </c>
      <c r="B110" s="50" t="s">
        <v>126</v>
      </c>
      <c r="C110" s="50" t="b">
        <f t="shared" si="1"/>
        <v>1</v>
      </c>
      <c r="D110" s="43"/>
      <c r="E110" s="44">
        <v>243</v>
      </c>
      <c r="F110" s="45" t="s">
        <v>126</v>
      </c>
      <c r="G110" s="46">
        <v>3</v>
      </c>
      <c r="H110" s="39">
        <v>12796.92</v>
      </c>
      <c r="I110" s="39">
        <v>2</v>
      </c>
      <c r="J110" s="39">
        <v>4785.84</v>
      </c>
      <c r="K110" s="39">
        <v>0</v>
      </c>
      <c r="L110" s="39">
        <v>0</v>
      </c>
      <c r="M110" s="39">
        <v>0</v>
      </c>
      <c r="N110" s="39">
        <v>0</v>
      </c>
      <c r="O110" s="39">
        <v>17582.760000000002</v>
      </c>
      <c r="P110" s="2"/>
      <c r="Q110" s="47">
        <v>3516.55</v>
      </c>
      <c r="R110" s="48">
        <v>3516.55</v>
      </c>
      <c r="S110" s="48">
        <v>5274.83</v>
      </c>
      <c r="T110" s="49"/>
    </row>
    <row r="111" spans="1:20" s="50" customFormat="1" x14ac:dyDescent="0.2">
      <c r="A111" s="50">
        <v>245</v>
      </c>
      <c r="B111" s="50" t="s">
        <v>127</v>
      </c>
      <c r="C111" s="50" t="b">
        <f t="shared" si="1"/>
        <v>1</v>
      </c>
      <c r="D111" s="43"/>
      <c r="E111" s="44">
        <v>245</v>
      </c>
      <c r="F111" s="45" t="s">
        <v>127</v>
      </c>
      <c r="G111" s="46">
        <v>44</v>
      </c>
      <c r="H111" s="39">
        <v>187688.16</v>
      </c>
      <c r="I111" s="39">
        <v>11</v>
      </c>
      <c r="J111" s="39">
        <v>26322.12</v>
      </c>
      <c r="K111" s="39">
        <v>2</v>
      </c>
      <c r="L111" s="39">
        <v>4369.68</v>
      </c>
      <c r="M111" s="39">
        <v>0</v>
      </c>
      <c r="N111" s="39">
        <v>0</v>
      </c>
      <c r="O111" s="39">
        <v>218379.96</v>
      </c>
      <c r="P111" s="2"/>
      <c r="Q111" s="47">
        <v>39431.199999999983</v>
      </c>
      <c r="R111" s="48">
        <v>43676.039999999979</v>
      </c>
      <c r="S111" s="48">
        <v>65513.940000000031</v>
      </c>
      <c r="T111" s="49"/>
    </row>
    <row r="112" spans="1:20" s="50" customFormat="1" x14ac:dyDescent="0.2">
      <c r="A112" s="50">
        <v>247</v>
      </c>
      <c r="B112" s="50" t="s">
        <v>128</v>
      </c>
      <c r="C112" s="50" t="b">
        <f t="shared" si="1"/>
        <v>1</v>
      </c>
      <c r="D112" s="43"/>
      <c r="E112" s="44">
        <v>247</v>
      </c>
      <c r="F112" s="45" t="s">
        <v>128</v>
      </c>
      <c r="G112" s="46">
        <v>6</v>
      </c>
      <c r="H112" s="39">
        <v>25593.84</v>
      </c>
      <c r="I112" s="39">
        <v>1</v>
      </c>
      <c r="J112" s="39">
        <v>2392.92</v>
      </c>
      <c r="K112" s="39">
        <v>1</v>
      </c>
      <c r="L112" s="39">
        <v>2184.84</v>
      </c>
      <c r="M112" s="39">
        <v>0</v>
      </c>
      <c r="N112" s="39">
        <v>0</v>
      </c>
      <c r="O112" s="39">
        <v>30171.600000000002</v>
      </c>
      <c r="P112" s="2"/>
      <c r="Q112" s="47">
        <v>5597.36</v>
      </c>
      <c r="R112" s="48">
        <v>6034.3300000000008</v>
      </c>
      <c r="S112" s="48">
        <v>9051.4700000000012</v>
      </c>
      <c r="T112" s="49"/>
    </row>
    <row r="113" spans="1:20" s="50" customFormat="1" x14ac:dyDescent="0.2">
      <c r="A113" s="50">
        <v>249</v>
      </c>
      <c r="B113" s="50" t="s">
        <v>129</v>
      </c>
      <c r="C113" s="50" t="b">
        <f t="shared" si="1"/>
        <v>1</v>
      </c>
      <c r="D113" s="43"/>
      <c r="E113" s="44">
        <v>249</v>
      </c>
      <c r="F113" s="45" t="s">
        <v>129</v>
      </c>
      <c r="G113" s="46">
        <v>84</v>
      </c>
      <c r="H113" s="39">
        <v>358313.76</v>
      </c>
      <c r="I113" s="39">
        <v>34</v>
      </c>
      <c r="J113" s="39">
        <v>81359.28</v>
      </c>
      <c r="K113" s="39">
        <v>3</v>
      </c>
      <c r="L113" s="39">
        <v>6554.52</v>
      </c>
      <c r="M113" s="39">
        <v>0</v>
      </c>
      <c r="N113" s="39">
        <v>0</v>
      </c>
      <c r="O113" s="39">
        <v>446227.56000000006</v>
      </c>
      <c r="P113" s="2"/>
      <c r="Q113" s="47">
        <v>78862.39</v>
      </c>
      <c r="R113" s="48">
        <v>89245.550000000047</v>
      </c>
      <c r="S113" s="48">
        <v>133868.23000000019</v>
      </c>
      <c r="T113" s="49"/>
    </row>
    <row r="114" spans="1:20" s="50" customFormat="1" x14ac:dyDescent="0.2">
      <c r="A114" s="50">
        <v>255</v>
      </c>
      <c r="B114" s="50" t="s">
        <v>130</v>
      </c>
      <c r="C114" s="50" t="b">
        <f t="shared" si="1"/>
        <v>1</v>
      </c>
      <c r="D114" s="43"/>
      <c r="E114" s="44">
        <v>255</v>
      </c>
      <c r="F114" s="45" t="s">
        <v>130</v>
      </c>
      <c r="G114" s="46">
        <v>26</v>
      </c>
      <c r="H114" s="39">
        <v>110906.64</v>
      </c>
      <c r="I114" s="39">
        <v>16</v>
      </c>
      <c r="J114" s="39">
        <v>38286.720000000001</v>
      </c>
      <c r="K114" s="39">
        <v>6</v>
      </c>
      <c r="L114" s="39">
        <v>13109.04</v>
      </c>
      <c r="M114" s="39">
        <v>0</v>
      </c>
      <c r="N114" s="39">
        <v>0</v>
      </c>
      <c r="O114" s="39">
        <v>162302.39999999999</v>
      </c>
      <c r="P114" s="2"/>
      <c r="Q114" s="47">
        <v>30587.770000000004</v>
      </c>
      <c r="R114" s="48">
        <v>30171.610000000004</v>
      </c>
      <c r="S114" s="48">
        <v>48690.720000000016</v>
      </c>
      <c r="T114" s="49"/>
    </row>
    <row r="115" spans="1:20" s="50" customFormat="1" x14ac:dyDescent="0.2">
      <c r="A115" s="50">
        <v>257</v>
      </c>
      <c r="B115" s="51" t="s">
        <v>131</v>
      </c>
      <c r="C115" s="52" t="b">
        <f t="shared" si="1"/>
        <v>1</v>
      </c>
      <c r="D115" s="43"/>
      <c r="E115" s="44">
        <v>257</v>
      </c>
      <c r="F115" s="45" t="s">
        <v>131</v>
      </c>
      <c r="G115" s="46">
        <v>8</v>
      </c>
      <c r="H115" s="39">
        <v>34125.120000000003</v>
      </c>
      <c r="I115" s="39">
        <v>0</v>
      </c>
      <c r="J115" s="39">
        <v>0</v>
      </c>
      <c r="K115" s="39">
        <v>2</v>
      </c>
      <c r="L115" s="39">
        <v>4369.68</v>
      </c>
      <c r="M115" s="39">
        <v>0</v>
      </c>
      <c r="N115" s="39">
        <v>0</v>
      </c>
      <c r="O115" s="39">
        <v>38494.800000000003</v>
      </c>
      <c r="P115" s="2"/>
      <c r="Q115" s="47">
        <v>9030.6899999999987</v>
      </c>
      <c r="R115" s="48">
        <v>7698.98</v>
      </c>
      <c r="S115" s="48">
        <v>11548.420000000002</v>
      </c>
      <c r="T115" s="49"/>
    </row>
    <row r="116" spans="1:20" s="50" customFormat="1" x14ac:dyDescent="0.2">
      <c r="A116" s="50">
        <v>259</v>
      </c>
      <c r="B116" s="50" t="s">
        <v>132</v>
      </c>
      <c r="C116" s="50" t="b">
        <f t="shared" si="1"/>
        <v>1</v>
      </c>
      <c r="D116" s="43"/>
      <c r="E116" s="44">
        <v>259</v>
      </c>
      <c r="F116" s="45" t="s">
        <v>132</v>
      </c>
      <c r="G116" s="46">
        <v>74</v>
      </c>
      <c r="H116" s="39">
        <v>315657.36</v>
      </c>
      <c r="I116" s="39">
        <v>9</v>
      </c>
      <c r="J116" s="39">
        <v>21536.28</v>
      </c>
      <c r="K116" s="39">
        <v>5</v>
      </c>
      <c r="L116" s="39">
        <v>10924.2</v>
      </c>
      <c r="M116" s="39">
        <v>0</v>
      </c>
      <c r="N116" s="39">
        <v>0</v>
      </c>
      <c r="O116" s="39">
        <v>348117.84</v>
      </c>
      <c r="P116" s="2"/>
      <c r="Q116" s="47">
        <v>68812.16999999994</v>
      </c>
      <c r="R116" s="48">
        <v>69623.68999999993</v>
      </c>
      <c r="S116" s="48">
        <v>104435.23000000011</v>
      </c>
      <c r="T116" s="49"/>
    </row>
    <row r="117" spans="1:20" s="50" customFormat="1" x14ac:dyDescent="0.2">
      <c r="A117" s="50">
        <v>261</v>
      </c>
      <c r="B117" s="50" t="s">
        <v>133</v>
      </c>
      <c r="C117" s="50" t="b">
        <f t="shared" si="1"/>
        <v>1</v>
      </c>
      <c r="D117" s="43"/>
      <c r="E117" s="44">
        <v>261</v>
      </c>
      <c r="F117" s="45" t="s">
        <v>133</v>
      </c>
      <c r="G117" s="46">
        <v>97</v>
      </c>
      <c r="H117" s="39">
        <v>413767.08</v>
      </c>
      <c r="I117" s="39">
        <v>21</v>
      </c>
      <c r="J117" s="39">
        <v>50251.32</v>
      </c>
      <c r="K117" s="39">
        <v>3</v>
      </c>
      <c r="L117" s="39">
        <v>6554.52</v>
      </c>
      <c r="M117" s="39">
        <v>0</v>
      </c>
      <c r="N117" s="39">
        <v>0</v>
      </c>
      <c r="O117" s="39">
        <v>470572.92000000004</v>
      </c>
      <c r="P117" s="2"/>
      <c r="Q117" s="47">
        <v>89432.900000000052</v>
      </c>
      <c r="R117" s="48">
        <v>92782.990000000063</v>
      </c>
      <c r="S117" s="48">
        <v>141171.76000000018</v>
      </c>
      <c r="T117" s="49"/>
    </row>
    <row r="118" spans="1:20" s="50" customFormat="1" x14ac:dyDescent="0.2">
      <c r="A118" s="50">
        <v>263</v>
      </c>
      <c r="B118" s="50" t="s">
        <v>134</v>
      </c>
      <c r="C118" s="50" t="b">
        <f t="shared" si="1"/>
        <v>1</v>
      </c>
      <c r="D118" s="43"/>
      <c r="E118" s="44">
        <v>263</v>
      </c>
      <c r="F118" s="45" t="s">
        <v>134</v>
      </c>
      <c r="G118" s="46">
        <v>57</v>
      </c>
      <c r="H118" s="39">
        <v>243141.48</v>
      </c>
      <c r="I118" s="39">
        <v>0</v>
      </c>
      <c r="J118" s="39">
        <v>0</v>
      </c>
      <c r="K118" s="39">
        <v>3</v>
      </c>
      <c r="L118" s="39">
        <v>6554.52</v>
      </c>
      <c r="M118" s="39">
        <v>0</v>
      </c>
      <c r="N118" s="39">
        <v>0</v>
      </c>
      <c r="O118" s="39">
        <v>249696</v>
      </c>
      <c r="P118" s="2"/>
      <c r="Q118" s="47">
        <v>51645.579999999958</v>
      </c>
      <c r="R118" s="48">
        <v>50792.449999999961</v>
      </c>
      <c r="S118" s="48">
        <v>74908.680000000066</v>
      </c>
      <c r="T118" s="49"/>
    </row>
    <row r="119" spans="1:20" s="50" customFormat="1" x14ac:dyDescent="0.2">
      <c r="A119" s="50">
        <v>267</v>
      </c>
      <c r="B119" s="50" t="s">
        <v>135</v>
      </c>
      <c r="C119" s="50" t="b">
        <f t="shared" si="1"/>
        <v>1</v>
      </c>
      <c r="D119" s="43"/>
      <c r="E119" s="44">
        <v>267</v>
      </c>
      <c r="F119" s="45" t="s">
        <v>135</v>
      </c>
      <c r="G119" s="46">
        <v>199</v>
      </c>
      <c r="H119" s="39">
        <v>848862.36</v>
      </c>
      <c r="I119" s="39">
        <v>20</v>
      </c>
      <c r="J119" s="39">
        <v>47858.400000000001</v>
      </c>
      <c r="K119" s="39">
        <v>16</v>
      </c>
      <c r="L119" s="39">
        <v>34957.440000000002</v>
      </c>
      <c r="M119" s="39">
        <v>0</v>
      </c>
      <c r="N119" s="39">
        <v>0</v>
      </c>
      <c r="O119" s="39">
        <v>931678.2</v>
      </c>
      <c r="P119" s="2"/>
      <c r="Q119" s="47">
        <v>174662.68000000049</v>
      </c>
      <c r="R119" s="48">
        <v>185586.90000000052</v>
      </c>
      <c r="S119" s="48">
        <v>279503.11000000045</v>
      </c>
      <c r="T119" s="49"/>
    </row>
    <row r="120" spans="1:20" s="50" customFormat="1" x14ac:dyDescent="0.2">
      <c r="A120" s="50">
        <v>271</v>
      </c>
      <c r="B120" s="50" t="s">
        <v>136</v>
      </c>
      <c r="C120" s="50" t="b">
        <f t="shared" si="1"/>
        <v>1</v>
      </c>
      <c r="D120" s="43"/>
      <c r="E120" s="44">
        <v>271</v>
      </c>
      <c r="F120" s="45" t="s">
        <v>136</v>
      </c>
      <c r="G120" s="46">
        <v>1</v>
      </c>
      <c r="H120" s="39">
        <v>4265.6400000000003</v>
      </c>
      <c r="I120" s="39">
        <v>0</v>
      </c>
      <c r="J120" s="39">
        <v>0</v>
      </c>
      <c r="K120" s="39">
        <v>0</v>
      </c>
      <c r="L120" s="39">
        <v>0</v>
      </c>
      <c r="M120" s="39">
        <v>0</v>
      </c>
      <c r="N120" s="39">
        <v>0</v>
      </c>
      <c r="O120" s="39">
        <v>4265.6400000000003</v>
      </c>
      <c r="P120" s="2"/>
      <c r="Q120" s="47">
        <v>853.13</v>
      </c>
      <c r="R120" s="48">
        <v>853.13</v>
      </c>
      <c r="S120" s="48">
        <v>1279.69</v>
      </c>
      <c r="T120" s="49"/>
    </row>
    <row r="121" spans="1:20" s="50" customFormat="1" x14ac:dyDescent="0.2">
      <c r="A121" s="50">
        <v>273</v>
      </c>
      <c r="B121" s="50" t="s">
        <v>137</v>
      </c>
      <c r="C121" s="50" t="b">
        <f t="shared" si="1"/>
        <v>1</v>
      </c>
      <c r="D121" s="43"/>
      <c r="E121" s="44">
        <v>273</v>
      </c>
      <c r="F121" s="45" t="s">
        <v>137</v>
      </c>
      <c r="G121" s="46">
        <v>50</v>
      </c>
      <c r="H121" s="39">
        <v>213282</v>
      </c>
      <c r="I121" s="39">
        <v>14</v>
      </c>
      <c r="J121" s="39">
        <v>33500.879999999997</v>
      </c>
      <c r="K121" s="39">
        <v>6</v>
      </c>
      <c r="L121" s="39">
        <v>13109.04</v>
      </c>
      <c r="M121" s="39">
        <v>0</v>
      </c>
      <c r="N121" s="39">
        <v>0</v>
      </c>
      <c r="O121" s="39">
        <v>259891.92</v>
      </c>
      <c r="P121" s="2"/>
      <c r="Q121" s="47">
        <v>43051.819999999971</v>
      </c>
      <c r="R121" s="48">
        <v>51978.439999999951</v>
      </c>
      <c r="S121" s="48">
        <v>77967.520000000033</v>
      </c>
      <c r="T121" s="49"/>
    </row>
    <row r="122" spans="1:20" s="50" customFormat="1" x14ac:dyDescent="0.2">
      <c r="A122" s="50">
        <v>275</v>
      </c>
      <c r="B122" s="50" t="s">
        <v>138</v>
      </c>
      <c r="C122" s="50" t="b">
        <f t="shared" si="1"/>
        <v>1</v>
      </c>
      <c r="D122" s="43"/>
      <c r="E122" s="44">
        <v>275</v>
      </c>
      <c r="F122" s="45" t="s">
        <v>138</v>
      </c>
      <c r="G122" s="46">
        <v>17</v>
      </c>
      <c r="H122" s="39">
        <v>72515.88</v>
      </c>
      <c r="I122" s="39">
        <v>3</v>
      </c>
      <c r="J122" s="39">
        <v>7178.76</v>
      </c>
      <c r="K122" s="39">
        <v>0</v>
      </c>
      <c r="L122" s="39">
        <v>0</v>
      </c>
      <c r="M122" s="39">
        <v>0</v>
      </c>
      <c r="N122" s="39">
        <v>0</v>
      </c>
      <c r="O122" s="39">
        <v>79694.64</v>
      </c>
      <c r="P122" s="2"/>
      <c r="Q122" s="47">
        <v>14503.209999999994</v>
      </c>
      <c r="R122" s="48">
        <v>15938.949999999993</v>
      </c>
      <c r="S122" s="48">
        <v>23908.370000000003</v>
      </c>
      <c r="T122" s="49"/>
    </row>
    <row r="123" spans="1:20" s="50" customFormat="1" x14ac:dyDescent="0.2">
      <c r="A123" s="50">
        <v>279</v>
      </c>
      <c r="B123" s="50" t="s">
        <v>139</v>
      </c>
      <c r="C123" s="50" t="b">
        <f t="shared" si="1"/>
        <v>1</v>
      </c>
      <c r="D123" s="43"/>
      <c r="E123" s="44">
        <v>279</v>
      </c>
      <c r="F123" s="45" t="s">
        <v>139</v>
      </c>
      <c r="G123" s="46">
        <v>124</v>
      </c>
      <c r="H123" s="39">
        <v>528939.36</v>
      </c>
      <c r="I123" s="39">
        <v>28</v>
      </c>
      <c r="J123" s="39">
        <v>67001.759999999995</v>
      </c>
      <c r="K123" s="39">
        <v>6</v>
      </c>
      <c r="L123" s="39">
        <v>13109.04</v>
      </c>
      <c r="M123" s="39">
        <v>0</v>
      </c>
      <c r="N123" s="39">
        <v>0</v>
      </c>
      <c r="O123" s="39">
        <v>609050.16</v>
      </c>
      <c r="P123" s="2"/>
      <c r="Q123" s="47">
        <v>115755.05000000019</v>
      </c>
      <c r="R123" s="48">
        <v>120478.47000000023</v>
      </c>
      <c r="S123" s="48">
        <v>182714.90000000031</v>
      </c>
      <c r="T123" s="49"/>
    </row>
    <row r="124" spans="1:20" s="50" customFormat="1" x14ac:dyDescent="0.2">
      <c r="A124" s="50">
        <v>281</v>
      </c>
      <c r="B124" s="50" t="s">
        <v>140</v>
      </c>
      <c r="C124" s="50" t="b">
        <f t="shared" si="1"/>
        <v>1</v>
      </c>
      <c r="D124" s="43"/>
      <c r="E124" s="44">
        <v>281</v>
      </c>
      <c r="F124" s="45" t="s">
        <v>140</v>
      </c>
      <c r="G124" s="46">
        <v>19</v>
      </c>
      <c r="H124" s="39">
        <v>81047.16</v>
      </c>
      <c r="I124" s="39">
        <v>2</v>
      </c>
      <c r="J124" s="39">
        <v>4785.84</v>
      </c>
      <c r="K124" s="39">
        <v>0</v>
      </c>
      <c r="L124" s="39">
        <v>0</v>
      </c>
      <c r="M124" s="39">
        <v>0</v>
      </c>
      <c r="N124" s="39">
        <v>0</v>
      </c>
      <c r="O124" s="39">
        <v>85833</v>
      </c>
      <c r="P124" s="2"/>
      <c r="Q124" s="47">
        <v>15356.339999999993</v>
      </c>
      <c r="R124" s="48">
        <v>16209.469999999992</v>
      </c>
      <c r="S124" s="48">
        <v>25749.87</v>
      </c>
      <c r="T124" s="49"/>
    </row>
    <row r="125" spans="1:20" s="50" customFormat="1" x14ac:dyDescent="0.2">
      <c r="A125" s="50">
        <v>283</v>
      </c>
      <c r="B125" s="50" t="s">
        <v>141</v>
      </c>
      <c r="C125" s="50" t="b">
        <f t="shared" si="1"/>
        <v>1</v>
      </c>
      <c r="D125" s="43"/>
      <c r="E125" s="44">
        <v>283</v>
      </c>
      <c r="F125" s="45" t="s">
        <v>141</v>
      </c>
      <c r="G125" s="46">
        <v>41</v>
      </c>
      <c r="H125" s="39">
        <v>174891.24</v>
      </c>
      <c r="I125" s="39">
        <v>4</v>
      </c>
      <c r="J125" s="39">
        <v>9571.68</v>
      </c>
      <c r="K125" s="39">
        <v>2</v>
      </c>
      <c r="L125" s="39">
        <v>4369.68</v>
      </c>
      <c r="M125" s="39">
        <v>0</v>
      </c>
      <c r="N125" s="39">
        <v>0</v>
      </c>
      <c r="O125" s="39">
        <v>188832.59999999998</v>
      </c>
      <c r="P125" s="2"/>
      <c r="Q125" s="47">
        <v>31212.070000000014</v>
      </c>
      <c r="R125" s="48">
        <v>37766.589999999997</v>
      </c>
      <c r="S125" s="48">
        <v>56649.710000000028</v>
      </c>
      <c r="T125" s="49"/>
    </row>
    <row r="126" spans="1:20" s="50" customFormat="1" x14ac:dyDescent="0.2">
      <c r="A126" s="50">
        <v>285</v>
      </c>
      <c r="B126" s="50" t="s">
        <v>142</v>
      </c>
      <c r="C126" s="50" t="b">
        <f t="shared" si="1"/>
        <v>1</v>
      </c>
      <c r="D126" s="43"/>
      <c r="E126" s="44">
        <v>285</v>
      </c>
      <c r="F126" s="45" t="s">
        <v>142</v>
      </c>
      <c r="G126" s="46">
        <v>129</v>
      </c>
      <c r="H126" s="39">
        <v>550267.56000000006</v>
      </c>
      <c r="I126" s="39">
        <v>40</v>
      </c>
      <c r="J126" s="39">
        <v>95716.800000000003</v>
      </c>
      <c r="K126" s="39">
        <v>14</v>
      </c>
      <c r="L126" s="39">
        <v>30587.759999999998</v>
      </c>
      <c r="M126" s="39">
        <v>0</v>
      </c>
      <c r="N126" s="39">
        <v>0</v>
      </c>
      <c r="O126" s="39">
        <v>676572.12000000011</v>
      </c>
      <c r="P126" s="2"/>
      <c r="Q126" s="47">
        <v>112488.22000000018</v>
      </c>
      <c r="R126" s="48">
        <v>130362.26000000024</v>
      </c>
      <c r="S126" s="48">
        <v>202971.51000000033</v>
      </c>
      <c r="T126" s="49"/>
    </row>
    <row r="127" spans="1:20" s="50" customFormat="1" x14ac:dyDescent="0.2">
      <c r="A127" s="50">
        <v>287</v>
      </c>
      <c r="B127" s="50" t="s">
        <v>143</v>
      </c>
      <c r="C127" s="50" t="b">
        <f t="shared" si="1"/>
        <v>1</v>
      </c>
      <c r="D127" s="43"/>
      <c r="E127" s="44">
        <v>287</v>
      </c>
      <c r="F127" s="45" t="s">
        <v>143</v>
      </c>
      <c r="G127" s="46">
        <v>21</v>
      </c>
      <c r="H127" s="39">
        <v>89578.44</v>
      </c>
      <c r="I127" s="39">
        <v>4</v>
      </c>
      <c r="J127" s="39">
        <v>9571.68</v>
      </c>
      <c r="K127" s="39">
        <v>1</v>
      </c>
      <c r="L127" s="39">
        <v>2184.84</v>
      </c>
      <c r="M127" s="39">
        <v>0</v>
      </c>
      <c r="N127" s="39">
        <v>0</v>
      </c>
      <c r="O127" s="39">
        <v>101334.95999999999</v>
      </c>
      <c r="P127" s="2"/>
      <c r="Q127" s="47">
        <v>18082.179999999997</v>
      </c>
      <c r="R127" s="48">
        <v>19413.89</v>
      </c>
      <c r="S127" s="48">
        <v>30400.459999999988</v>
      </c>
      <c r="T127" s="49"/>
    </row>
    <row r="128" spans="1:20" s="50" customFormat="1" x14ac:dyDescent="0.2">
      <c r="A128" s="50">
        <v>291</v>
      </c>
      <c r="B128" s="50" t="s">
        <v>144</v>
      </c>
      <c r="C128" s="50" t="b">
        <f t="shared" si="1"/>
        <v>1</v>
      </c>
      <c r="D128" s="43"/>
      <c r="E128" s="44">
        <v>291</v>
      </c>
      <c r="F128" s="45" t="s">
        <v>144</v>
      </c>
      <c r="G128" s="46">
        <v>1</v>
      </c>
      <c r="H128" s="39">
        <v>4265.6400000000003</v>
      </c>
      <c r="I128" s="39">
        <v>1</v>
      </c>
      <c r="J128" s="39">
        <v>2392.92</v>
      </c>
      <c r="K128" s="39">
        <v>0</v>
      </c>
      <c r="L128" s="39">
        <v>0</v>
      </c>
      <c r="M128" s="39">
        <v>0</v>
      </c>
      <c r="N128" s="39">
        <v>0</v>
      </c>
      <c r="O128" s="39">
        <v>6658.56</v>
      </c>
      <c r="P128" s="2"/>
      <c r="Q128" s="47">
        <v>1331.71</v>
      </c>
      <c r="R128" s="48">
        <v>0</v>
      </c>
      <c r="S128" s="48">
        <v>1997.57</v>
      </c>
      <c r="T128" s="49"/>
    </row>
    <row r="129" spans="1:20" s="50" customFormat="1" x14ac:dyDescent="0.2">
      <c r="A129" s="50">
        <v>293</v>
      </c>
      <c r="B129" s="50" t="s">
        <v>145</v>
      </c>
      <c r="C129" s="50" t="b">
        <f t="shared" si="1"/>
        <v>1</v>
      </c>
      <c r="D129" s="43"/>
      <c r="E129" s="44">
        <v>293</v>
      </c>
      <c r="F129" s="45" t="s">
        <v>145</v>
      </c>
      <c r="G129" s="46">
        <v>2</v>
      </c>
      <c r="H129" s="39">
        <v>8531.2800000000007</v>
      </c>
      <c r="I129" s="39">
        <v>0</v>
      </c>
      <c r="J129" s="39">
        <v>0</v>
      </c>
      <c r="K129" s="39">
        <v>0</v>
      </c>
      <c r="L129" s="39">
        <v>0</v>
      </c>
      <c r="M129" s="39">
        <v>0</v>
      </c>
      <c r="N129" s="39">
        <v>0</v>
      </c>
      <c r="O129" s="39">
        <v>8531.2800000000007</v>
      </c>
      <c r="P129" s="2"/>
      <c r="Q129" s="47">
        <v>1706.26</v>
      </c>
      <c r="R129" s="48">
        <v>1706.26</v>
      </c>
      <c r="S129" s="48">
        <v>2559.38</v>
      </c>
      <c r="T129" s="49"/>
    </row>
    <row r="130" spans="1:20" s="50" customFormat="1" x14ac:dyDescent="0.2">
      <c r="A130" s="50">
        <v>295</v>
      </c>
      <c r="B130" s="50" t="s">
        <v>146</v>
      </c>
      <c r="C130" s="50" t="b">
        <f t="shared" si="1"/>
        <v>1</v>
      </c>
      <c r="D130" s="43"/>
      <c r="E130" s="44">
        <v>295</v>
      </c>
      <c r="F130" s="45" t="s">
        <v>146</v>
      </c>
      <c r="G130" s="46">
        <v>28</v>
      </c>
      <c r="H130" s="39">
        <v>119437.92</v>
      </c>
      <c r="I130" s="39">
        <v>11</v>
      </c>
      <c r="J130" s="39">
        <v>26322.12</v>
      </c>
      <c r="K130" s="39">
        <v>0</v>
      </c>
      <c r="L130" s="39">
        <v>0</v>
      </c>
      <c r="M130" s="39">
        <v>0</v>
      </c>
      <c r="N130" s="39">
        <v>0</v>
      </c>
      <c r="O130" s="39">
        <v>145760.04</v>
      </c>
      <c r="P130" s="2"/>
      <c r="Q130" s="47">
        <v>24303.759999999998</v>
      </c>
      <c r="R130" s="48">
        <v>29152.02</v>
      </c>
      <c r="S130" s="48">
        <v>43728</v>
      </c>
      <c r="T130" s="49"/>
    </row>
    <row r="131" spans="1:20" s="50" customFormat="1" x14ac:dyDescent="0.2">
      <c r="A131" s="50">
        <v>297</v>
      </c>
      <c r="B131" s="50" t="s">
        <v>147</v>
      </c>
      <c r="C131" s="50" t="b">
        <f t="shared" si="1"/>
        <v>1</v>
      </c>
      <c r="D131" s="43"/>
      <c r="E131" s="44">
        <v>297</v>
      </c>
      <c r="F131" s="45" t="s">
        <v>147</v>
      </c>
      <c r="G131" s="46">
        <v>31</v>
      </c>
      <c r="H131" s="39">
        <v>132234.84</v>
      </c>
      <c r="I131" s="39">
        <v>1</v>
      </c>
      <c r="J131" s="39">
        <v>2392.92</v>
      </c>
      <c r="K131" s="39">
        <v>4</v>
      </c>
      <c r="L131" s="39">
        <v>8739.36</v>
      </c>
      <c r="M131" s="39">
        <v>0</v>
      </c>
      <c r="N131" s="39">
        <v>0</v>
      </c>
      <c r="O131" s="39">
        <v>143367.12</v>
      </c>
      <c r="P131" s="2"/>
      <c r="Q131" s="47">
        <v>23055.320000000003</v>
      </c>
      <c r="R131" s="48">
        <v>28673.490000000013</v>
      </c>
      <c r="S131" s="48">
        <v>43010.070000000007</v>
      </c>
      <c r="T131" s="49"/>
    </row>
    <row r="132" spans="1:20" s="50" customFormat="1" x14ac:dyDescent="0.2">
      <c r="A132" s="50">
        <v>299</v>
      </c>
      <c r="B132" s="50" t="s">
        <v>148</v>
      </c>
      <c r="C132" s="50" t="b">
        <f t="shared" si="1"/>
        <v>1</v>
      </c>
      <c r="D132" s="43"/>
      <c r="E132" s="44">
        <v>299</v>
      </c>
      <c r="F132" s="45" t="s">
        <v>148</v>
      </c>
      <c r="G132" s="46">
        <v>14</v>
      </c>
      <c r="H132" s="39">
        <v>59718.96</v>
      </c>
      <c r="I132" s="39">
        <v>5</v>
      </c>
      <c r="J132" s="39">
        <v>11964.6</v>
      </c>
      <c r="K132" s="39">
        <v>3</v>
      </c>
      <c r="L132" s="39">
        <v>6554.52</v>
      </c>
      <c r="M132" s="39">
        <v>0</v>
      </c>
      <c r="N132" s="39">
        <v>0</v>
      </c>
      <c r="O132" s="39">
        <v>78238.080000000002</v>
      </c>
      <c r="P132" s="2"/>
      <c r="Q132" s="47">
        <v>16500.759999999995</v>
      </c>
      <c r="R132" s="48">
        <v>15647.629999999994</v>
      </c>
      <c r="S132" s="48">
        <v>23471.409999999996</v>
      </c>
      <c r="T132" s="49"/>
    </row>
    <row r="133" spans="1:20" s="50" customFormat="1" x14ac:dyDescent="0.2">
      <c r="A133" s="50">
        <v>303</v>
      </c>
      <c r="B133" s="50" t="s">
        <v>149</v>
      </c>
      <c r="C133" s="50" t="b">
        <f t="shared" si="1"/>
        <v>1</v>
      </c>
      <c r="D133" s="43"/>
      <c r="E133" s="44">
        <v>303</v>
      </c>
      <c r="F133" s="45" t="s">
        <v>149</v>
      </c>
      <c r="G133" s="46">
        <v>4</v>
      </c>
      <c r="H133" s="39">
        <v>17062.560000000001</v>
      </c>
      <c r="I133" s="39">
        <v>0</v>
      </c>
      <c r="J133" s="39">
        <v>0</v>
      </c>
      <c r="K133" s="39">
        <v>0</v>
      </c>
      <c r="L133" s="39">
        <v>0</v>
      </c>
      <c r="M133" s="39">
        <v>0</v>
      </c>
      <c r="N133" s="39">
        <v>0</v>
      </c>
      <c r="O133" s="39">
        <v>17062.560000000001</v>
      </c>
      <c r="P133" s="2"/>
      <c r="Q133" s="47">
        <v>3412.52</v>
      </c>
      <c r="R133" s="48">
        <v>3412.52</v>
      </c>
      <c r="S133" s="48">
        <v>5118.76</v>
      </c>
      <c r="T133" s="49"/>
    </row>
    <row r="134" spans="1:20" s="50" customFormat="1" x14ac:dyDescent="0.2">
      <c r="A134" s="50">
        <v>311</v>
      </c>
      <c r="B134" s="50" t="s">
        <v>150</v>
      </c>
      <c r="C134" s="50" t="b">
        <f t="shared" si="1"/>
        <v>1</v>
      </c>
      <c r="D134" s="43"/>
      <c r="E134" s="44">
        <v>311</v>
      </c>
      <c r="F134" s="45" t="s">
        <v>150</v>
      </c>
      <c r="G134" s="46">
        <v>13</v>
      </c>
      <c r="H134" s="39">
        <v>55453.32</v>
      </c>
      <c r="I134" s="39">
        <v>8</v>
      </c>
      <c r="J134" s="39">
        <v>19143.36</v>
      </c>
      <c r="K134" s="39">
        <v>3</v>
      </c>
      <c r="L134" s="39">
        <v>6554.52</v>
      </c>
      <c r="M134" s="39">
        <v>0</v>
      </c>
      <c r="N134" s="39">
        <v>0</v>
      </c>
      <c r="O134" s="39">
        <v>81151.199999999997</v>
      </c>
      <c r="P134" s="2"/>
      <c r="Q134" s="47">
        <v>14045.399999999998</v>
      </c>
      <c r="R134" s="48">
        <v>16230.239999999996</v>
      </c>
      <c r="S134" s="48">
        <v>24345.359999999993</v>
      </c>
      <c r="T134" s="49"/>
    </row>
    <row r="135" spans="1:20" s="50" customFormat="1" x14ac:dyDescent="0.2">
      <c r="A135" s="50">
        <v>315</v>
      </c>
      <c r="B135" s="50" t="s">
        <v>151</v>
      </c>
      <c r="C135" s="50" t="b">
        <f t="shared" si="1"/>
        <v>1</v>
      </c>
      <c r="D135" s="43"/>
      <c r="E135" s="44">
        <v>315</v>
      </c>
      <c r="F135" s="45" t="s">
        <v>151</v>
      </c>
      <c r="G135" s="46">
        <v>79</v>
      </c>
      <c r="H135" s="39">
        <v>336985.56</v>
      </c>
      <c r="I135" s="39">
        <v>6</v>
      </c>
      <c r="J135" s="39">
        <v>14357.52</v>
      </c>
      <c r="K135" s="39">
        <v>9</v>
      </c>
      <c r="L135" s="39">
        <v>19663.560000000001</v>
      </c>
      <c r="M135" s="39">
        <v>0</v>
      </c>
      <c r="N135" s="39">
        <v>0</v>
      </c>
      <c r="O135" s="39">
        <v>371006.64</v>
      </c>
      <c r="P135" s="2"/>
      <c r="Q135" s="47">
        <v>71184.309999999954</v>
      </c>
      <c r="R135" s="48">
        <v>72911.379999999961</v>
      </c>
      <c r="S135" s="48">
        <v>111301.8400000001</v>
      </c>
      <c r="T135" s="49"/>
    </row>
    <row r="136" spans="1:20" s="50" customFormat="1" x14ac:dyDescent="0.2">
      <c r="A136" s="50">
        <v>317</v>
      </c>
      <c r="B136" s="50" t="s">
        <v>152</v>
      </c>
      <c r="C136" s="50" t="b">
        <f t="shared" si="1"/>
        <v>1</v>
      </c>
      <c r="D136" s="43"/>
      <c r="E136" s="44">
        <v>317</v>
      </c>
      <c r="F136" s="45" t="s">
        <v>152</v>
      </c>
      <c r="G136" s="46">
        <v>56</v>
      </c>
      <c r="H136" s="39">
        <v>238875.84</v>
      </c>
      <c r="I136" s="39">
        <v>10</v>
      </c>
      <c r="J136" s="39">
        <v>23929.200000000001</v>
      </c>
      <c r="K136" s="39">
        <v>2</v>
      </c>
      <c r="L136" s="39">
        <v>4369.68</v>
      </c>
      <c r="M136" s="39">
        <v>0</v>
      </c>
      <c r="N136" s="39">
        <v>0</v>
      </c>
      <c r="O136" s="39">
        <v>267174.71999999997</v>
      </c>
      <c r="P136" s="2"/>
      <c r="Q136" s="47">
        <v>54392.179999999957</v>
      </c>
      <c r="R136" s="48">
        <v>56098.439999999959</v>
      </c>
      <c r="S136" s="48">
        <v>80152.340000000026</v>
      </c>
      <c r="T136" s="49"/>
    </row>
    <row r="137" spans="1:20" s="50" customFormat="1" x14ac:dyDescent="0.2">
      <c r="A137" s="50">
        <v>319</v>
      </c>
      <c r="B137" s="50" t="s">
        <v>153</v>
      </c>
      <c r="C137" s="50" t="b">
        <f t="shared" ref="C137:C201" si="2">B137=F137</f>
        <v>1</v>
      </c>
      <c r="D137" s="43"/>
      <c r="E137" s="44">
        <v>319</v>
      </c>
      <c r="F137" s="45" t="s">
        <v>153</v>
      </c>
      <c r="G137" s="46">
        <v>127</v>
      </c>
      <c r="H137" s="39">
        <v>541736.28</v>
      </c>
      <c r="I137" s="39">
        <v>22</v>
      </c>
      <c r="J137" s="39">
        <v>52644.24</v>
      </c>
      <c r="K137" s="39">
        <v>7</v>
      </c>
      <c r="L137" s="39">
        <v>15293.88</v>
      </c>
      <c r="M137" s="39">
        <v>0</v>
      </c>
      <c r="N137" s="39">
        <v>0</v>
      </c>
      <c r="O137" s="39">
        <v>609674.4</v>
      </c>
      <c r="P137" s="2"/>
      <c r="Q137" s="47">
        <v>109325.45000000016</v>
      </c>
      <c r="R137" s="48">
        <v>118085.57000000018</v>
      </c>
      <c r="S137" s="48">
        <v>182902.14000000025</v>
      </c>
      <c r="T137" s="49"/>
    </row>
    <row r="138" spans="1:20" s="50" customFormat="1" x14ac:dyDescent="0.2">
      <c r="A138" s="50">
        <v>321</v>
      </c>
      <c r="B138" s="50" t="s">
        <v>154</v>
      </c>
      <c r="C138" s="50" t="b">
        <f t="shared" si="2"/>
        <v>1</v>
      </c>
      <c r="D138" s="43"/>
      <c r="E138" s="44">
        <v>321</v>
      </c>
      <c r="F138" s="45" t="s">
        <v>154</v>
      </c>
      <c r="G138" s="46">
        <v>79</v>
      </c>
      <c r="H138" s="39">
        <v>336985.56</v>
      </c>
      <c r="I138" s="39">
        <v>22</v>
      </c>
      <c r="J138" s="39">
        <v>52644.24</v>
      </c>
      <c r="K138" s="39">
        <v>6</v>
      </c>
      <c r="L138" s="39">
        <v>13109.04</v>
      </c>
      <c r="M138" s="39">
        <v>0</v>
      </c>
      <c r="N138" s="39">
        <v>0</v>
      </c>
      <c r="O138" s="39">
        <v>402738.83999999997</v>
      </c>
      <c r="P138" s="2"/>
      <c r="Q138" s="47">
        <v>77717.98</v>
      </c>
      <c r="R138" s="48">
        <v>78196.559999999983</v>
      </c>
      <c r="S138" s="48">
        <v>120821.57000000015</v>
      </c>
      <c r="T138" s="49"/>
    </row>
    <row r="139" spans="1:20" s="50" customFormat="1" x14ac:dyDescent="0.2">
      <c r="A139" s="50">
        <v>323</v>
      </c>
      <c r="B139" s="50" t="s">
        <v>155</v>
      </c>
      <c r="C139" s="50" t="b">
        <f t="shared" si="2"/>
        <v>1</v>
      </c>
      <c r="D139" s="43"/>
      <c r="E139" s="44">
        <v>323</v>
      </c>
      <c r="F139" s="45" t="s">
        <v>155</v>
      </c>
      <c r="G139" s="46">
        <v>9</v>
      </c>
      <c r="H139" s="39">
        <v>38390.76</v>
      </c>
      <c r="I139" s="39">
        <v>5</v>
      </c>
      <c r="J139" s="39">
        <v>11964.6</v>
      </c>
      <c r="K139" s="39">
        <v>0</v>
      </c>
      <c r="L139" s="39">
        <v>0</v>
      </c>
      <c r="M139" s="39">
        <v>0</v>
      </c>
      <c r="N139" s="39">
        <v>0</v>
      </c>
      <c r="O139" s="39">
        <v>50355.360000000001</v>
      </c>
      <c r="P139" s="2"/>
      <c r="Q139" s="47">
        <v>7407.6500000000005</v>
      </c>
      <c r="R139" s="48">
        <v>10071.07</v>
      </c>
      <c r="S139" s="48">
        <v>15106.61</v>
      </c>
      <c r="T139" s="49"/>
    </row>
    <row r="140" spans="1:20" s="50" customFormat="1" x14ac:dyDescent="0.2">
      <c r="A140" s="50">
        <v>327</v>
      </c>
      <c r="B140" s="50" t="s">
        <v>156</v>
      </c>
      <c r="C140" s="50" t="b">
        <f t="shared" si="2"/>
        <v>1</v>
      </c>
      <c r="D140" s="43"/>
      <c r="E140" s="44">
        <v>327</v>
      </c>
      <c r="F140" s="45" t="s">
        <v>156</v>
      </c>
      <c r="G140" s="46">
        <v>7</v>
      </c>
      <c r="H140" s="39">
        <v>29859.48</v>
      </c>
      <c r="I140" s="39">
        <v>1</v>
      </c>
      <c r="J140" s="39">
        <v>2392.92</v>
      </c>
      <c r="K140" s="39">
        <v>0</v>
      </c>
      <c r="L140" s="39">
        <v>0</v>
      </c>
      <c r="M140" s="39">
        <v>0</v>
      </c>
      <c r="N140" s="39">
        <v>0</v>
      </c>
      <c r="O140" s="39">
        <v>32252.400000000001</v>
      </c>
      <c r="P140" s="2"/>
      <c r="Q140" s="47">
        <v>5118.78</v>
      </c>
      <c r="R140" s="48">
        <v>6450.49</v>
      </c>
      <c r="S140" s="48">
        <v>9675.7100000000009</v>
      </c>
      <c r="T140" s="49"/>
    </row>
    <row r="141" spans="1:20" s="50" customFormat="1" x14ac:dyDescent="0.2">
      <c r="A141" s="50">
        <v>329</v>
      </c>
      <c r="B141" s="50" t="s">
        <v>157</v>
      </c>
      <c r="C141" s="50" t="b">
        <f t="shared" si="2"/>
        <v>1</v>
      </c>
      <c r="D141" s="43"/>
      <c r="E141" s="44">
        <v>329</v>
      </c>
      <c r="F141" s="45" t="s">
        <v>157</v>
      </c>
      <c r="G141" s="46">
        <v>20</v>
      </c>
      <c r="H141" s="39">
        <v>85312.8</v>
      </c>
      <c r="I141" s="39">
        <v>3</v>
      </c>
      <c r="J141" s="39">
        <v>7178.76</v>
      </c>
      <c r="K141" s="39">
        <v>1</v>
      </c>
      <c r="L141" s="39">
        <v>2184.84</v>
      </c>
      <c r="M141" s="39">
        <v>0</v>
      </c>
      <c r="N141" s="39">
        <v>0</v>
      </c>
      <c r="O141" s="39">
        <v>94676.4</v>
      </c>
      <c r="P141" s="2"/>
      <c r="Q141" s="47">
        <v>18352.699999999993</v>
      </c>
      <c r="R141" s="48">
        <v>19788.439999999999</v>
      </c>
      <c r="S141" s="48">
        <v>28402.889999999992</v>
      </c>
      <c r="T141" s="49"/>
    </row>
    <row r="142" spans="1:20" s="50" customFormat="1" x14ac:dyDescent="0.2">
      <c r="A142" s="50">
        <v>331</v>
      </c>
      <c r="B142" s="50" t="s">
        <v>158</v>
      </c>
      <c r="C142" s="50" t="b">
        <f t="shared" si="2"/>
        <v>1</v>
      </c>
      <c r="D142" s="43"/>
      <c r="E142" s="44">
        <v>331</v>
      </c>
      <c r="F142" s="45" t="s">
        <v>158</v>
      </c>
      <c r="G142" s="46">
        <v>15</v>
      </c>
      <c r="H142" s="39">
        <v>63984.6</v>
      </c>
      <c r="I142" s="39">
        <v>2</v>
      </c>
      <c r="J142" s="39">
        <v>4785.84</v>
      </c>
      <c r="K142" s="39">
        <v>2</v>
      </c>
      <c r="L142" s="39">
        <v>4369.68</v>
      </c>
      <c r="M142" s="39">
        <v>0</v>
      </c>
      <c r="N142" s="39">
        <v>0</v>
      </c>
      <c r="O142" s="39">
        <v>73140.12</v>
      </c>
      <c r="P142" s="2"/>
      <c r="Q142" s="47">
        <v>15481.179999999997</v>
      </c>
      <c r="R142" s="48">
        <v>14628.049999999996</v>
      </c>
      <c r="S142" s="48">
        <v>21942.01</v>
      </c>
      <c r="T142" s="49"/>
    </row>
    <row r="143" spans="1:20" s="50" customFormat="1" x14ac:dyDescent="0.2">
      <c r="A143" s="50">
        <v>333</v>
      </c>
      <c r="B143" s="50" t="s">
        <v>159</v>
      </c>
      <c r="C143" s="50" t="b">
        <f t="shared" si="2"/>
        <v>1</v>
      </c>
      <c r="D143" s="43"/>
      <c r="E143" s="44">
        <v>333</v>
      </c>
      <c r="F143" s="45" t="s">
        <v>159</v>
      </c>
      <c r="G143" s="46">
        <v>20</v>
      </c>
      <c r="H143" s="39">
        <v>85312.8</v>
      </c>
      <c r="I143" s="39">
        <v>8</v>
      </c>
      <c r="J143" s="39">
        <v>19143.36</v>
      </c>
      <c r="K143" s="39">
        <v>3</v>
      </c>
      <c r="L143" s="39">
        <v>6554.52</v>
      </c>
      <c r="M143" s="39">
        <v>0</v>
      </c>
      <c r="N143" s="39">
        <v>0</v>
      </c>
      <c r="O143" s="39">
        <v>111010.68000000001</v>
      </c>
      <c r="P143" s="2"/>
      <c r="Q143" s="47">
        <v>17083.409999999993</v>
      </c>
      <c r="R143" s="48">
        <v>18248.629999999994</v>
      </c>
      <c r="S143" s="48">
        <v>33303.189999999995</v>
      </c>
      <c r="T143" s="49"/>
    </row>
    <row r="144" spans="1:20" s="50" customFormat="1" x14ac:dyDescent="0.2">
      <c r="A144" s="50">
        <v>335</v>
      </c>
      <c r="B144" s="50" t="s">
        <v>160</v>
      </c>
      <c r="C144" s="50" t="b">
        <f t="shared" si="2"/>
        <v>1</v>
      </c>
      <c r="D144" s="43"/>
      <c r="E144" s="44">
        <v>335</v>
      </c>
      <c r="F144" s="45" t="s">
        <v>160</v>
      </c>
      <c r="G144" s="46">
        <v>1131</v>
      </c>
      <c r="H144" s="39">
        <v>4824438.84</v>
      </c>
      <c r="I144" s="39">
        <v>341</v>
      </c>
      <c r="J144" s="39">
        <v>815985.72</v>
      </c>
      <c r="K144" s="39">
        <v>118</v>
      </c>
      <c r="L144" s="39">
        <v>257811.12</v>
      </c>
      <c r="M144" s="39">
        <v>8</v>
      </c>
      <c r="N144" s="39">
        <v>6658.56</v>
      </c>
      <c r="O144" s="39">
        <v>5904894.2399999993</v>
      </c>
      <c r="P144" s="2"/>
      <c r="Q144" s="47">
        <v>1071592.4899999977</v>
      </c>
      <c r="R144" s="48">
        <v>1169452.3099999879</v>
      </c>
      <c r="S144" s="48">
        <v>1771467.1699999727</v>
      </c>
      <c r="T144" s="49"/>
    </row>
    <row r="145" spans="1:20" s="50" customFormat="1" x14ac:dyDescent="0.2">
      <c r="A145" s="50">
        <v>339</v>
      </c>
      <c r="B145" s="50" t="s">
        <v>161</v>
      </c>
      <c r="C145" s="50" t="b">
        <f t="shared" si="2"/>
        <v>1</v>
      </c>
      <c r="D145" s="43"/>
      <c r="E145" s="44">
        <v>339</v>
      </c>
      <c r="F145" s="45" t="s">
        <v>161</v>
      </c>
      <c r="G145" s="46">
        <v>15</v>
      </c>
      <c r="H145" s="39">
        <v>63984.6</v>
      </c>
      <c r="I145" s="39">
        <v>1</v>
      </c>
      <c r="J145" s="39">
        <v>2392.92</v>
      </c>
      <c r="K145" s="39">
        <v>0</v>
      </c>
      <c r="L145" s="39">
        <v>0</v>
      </c>
      <c r="M145" s="39">
        <v>0</v>
      </c>
      <c r="N145" s="39">
        <v>0</v>
      </c>
      <c r="O145" s="39">
        <v>66377.52</v>
      </c>
      <c r="P145" s="2"/>
      <c r="Q145" s="47">
        <v>10716.14</v>
      </c>
      <c r="R145" s="48">
        <v>12422.399999999998</v>
      </c>
      <c r="S145" s="48">
        <v>19913.23</v>
      </c>
      <c r="T145" s="49"/>
    </row>
    <row r="146" spans="1:20" s="50" customFormat="1" x14ac:dyDescent="0.2">
      <c r="A146" s="50">
        <v>341</v>
      </c>
      <c r="B146" s="50" t="s">
        <v>162</v>
      </c>
      <c r="C146" s="50" t="b">
        <f t="shared" si="2"/>
        <v>1</v>
      </c>
      <c r="D146" s="43"/>
      <c r="E146" s="44">
        <v>341</v>
      </c>
      <c r="F146" s="45" t="s">
        <v>162</v>
      </c>
      <c r="G146" s="46">
        <v>5</v>
      </c>
      <c r="H146" s="39">
        <v>21328.2</v>
      </c>
      <c r="I146" s="39">
        <v>0</v>
      </c>
      <c r="J146" s="39">
        <v>0</v>
      </c>
      <c r="K146" s="39">
        <v>0</v>
      </c>
      <c r="L146" s="39">
        <v>0</v>
      </c>
      <c r="M146" s="39">
        <v>0</v>
      </c>
      <c r="N146" s="39">
        <v>0</v>
      </c>
      <c r="O146" s="39">
        <v>21328.2</v>
      </c>
      <c r="P146" s="2"/>
      <c r="Q146" s="47">
        <v>4265.6499999999996</v>
      </c>
      <c r="R146" s="48">
        <v>4265.6499999999996</v>
      </c>
      <c r="S146" s="48">
        <v>6398.4500000000007</v>
      </c>
      <c r="T146" s="49"/>
    </row>
    <row r="147" spans="1:20" s="50" customFormat="1" x14ac:dyDescent="0.2">
      <c r="A147" s="50">
        <v>344</v>
      </c>
      <c r="B147" s="50" t="s">
        <v>163</v>
      </c>
      <c r="C147" s="50" t="b">
        <f t="shared" si="2"/>
        <v>1</v>
      </c>
      <c r="D147" s="43"/>
      <c r="E147" s="44">
        <v>344</v>
      </c>
      <c r="F147" s="45" t="s">
        <v>163</v>
      </c>
      <c r="G147" s="46">
        <v>0</v>
      </c>
      <c r="H147" s="39">
        <v>0</v>
      </c>
      <c r="I147" s="39">
        <v>0</v>
      </c>
      <c r="J147" s="39">
        <v>0</v>
      </c>
      <c r="K147" s="39">
        <v>0</v>
      </c>
      <c r="L147" s="39">
        <v>0</v>
      </c>
      <c r="M147" s="39">
        <v>0</v>
      </c>
      <c r="N147" s="39">
        <v>0</v>
      </c>
      <c r="O147" s="39">
        <v>0</v>
      </c>
      <c r="P147" s="2"/>
      <c r="Q147" s="47">
        <v>0</v>
      </c>
      <c r="R147" s="48">
        <v>0</v>
      </c>
      <c r="S147" s="48">
        <v>0</v>
      </c>
      <c r="T147" s="49"/>
    </row>
    <row r="148" spans="1:20" s="50" customFormat="1" x14ac:dyDescent="0.2">
      <c r="A148" s="50">
        <v>345</v>
      </c>
      <c r="B148" s="50" t="s">
        <v>164</v>
      </c>
      <c r="C148" s="50" t="b">
        <f t="shared" si="2"/>
        <v>1</v>
      </c>
      <c r="D148" s="43"/>
      <c r="E148" s="44">
        <v>345</v>
      </c>
      <c r="F148" s="45" t="s">
        <v>164</v>
      </c>
      <c r="G148" s="46">
        <v>20</v>
      </c>
      <c r="H148" s="39">
        <v>85312.8</v>
      </c>
      <c r="I148" s="39">
        <v>0</v>
      </c>
      <c r="J148" s="39">
        <v>0</v>
      </c>
      <c r="K148" s="39">
        <v>1</v>
      </c>
      <c r="L148" s="39">
        <v>2184.84</v>
      </c>
      <c r="M148" s="39">
        <v>0</v>
      </c>
      <c r="N148" s="39">
        <v>0</v>
      </c>
      <c r="O148" s="39">
        <v>87497.64</v>
      </c>
      <c r="P148" s="2"/>
      <c r="Q148" s="47">
        <v>14087.049999999996</v>
      </c>
      <c r="R148" s="48">
        <v>17499.569999999996</v>
      </c>
      <c r="S148" s="48">
        <v>26249.249999999996</v>
      </c>
      <c r="T148" s="49"/>
    </row>
    <row r="149" spans="1:20" s="50" customFormat="1" x14ac:dyDescent="0.2">
      <c r="A149" s="50">
        <v>347</v>
      </c>
      <c r="B149" s="50" t="s">
        <v>165</v>
      </c>
      <c r="C149" s="50" t="b">
        <f t="shared" si="2"/>
        <v>1</v>
      </c>
      <c r="D149" s="43"/>
      <c r="E149" s="44">
        <v>347</v>
      </c>
      <c r="F149" s="45" t="s">
        <v>165</v>
      </c>
      <c r="G149" s="46">
        <v>16</v>
      </c>
      <c r="H149" s="39">
        <v>68250.240000000005</v>
      </c>
      <c r="I149" s="39">
        <v>5</v>
      </c>
      <c r="J149" s="39">
        <v>11964.6</v>
      </c>
      <c r="K149" s="39">
        <v>1</v>
      </c>
      <c r="L149" s="39">
        <v>2184.84</v>
      </c>
      <c r="M149" s="39">
        <v>0</v>
      </c>
      <c r="N149" s="39">
        <v>0</v>
      </c>
      <c r="O149" s="39">
        <v>82399.680000000008</v>
      </c>
      <c r="P149" s="2"/>
      <c r="Q149" s="47">
        <v>14711.269999999995</v>
      </c>
      <c r="R149" s="48">
        <v>16479.949999999997</v>
      </c>
      <c r="S149" s="48">
        <v>24719.889999999992</v>
      </c>
      <c r="T149" s="49"/>
    </row>
    <row r="150" spans="1:20" s="50" customFormat="1" x14ac:dyDescent="0.2">
      <c r="A150" s="50">
        <v>351</v>
      </c>
      <c r="B150" s="50" t="s">
        <v>166</v>
      </c>
      <c r="C150" s="50" t="b">
        <f t="shared" si="2"/>
        <v>1</v>
      </c>
      <c r="D150" s="43"/>
      <c r="E150" s="44">
        <v>351</v>
      </c>
      <c r="F150" s="45" t="s">
        <v>166</v>
      </c>
      <c r="G150" s="46">
        <v>211</v>
      </c>
      <c r="H150" s="39">
        <v>900050.04</v>
      </c>
      <c r="I150" s="39">
        <v>28</v>
      </c>
      <c r="J150" s="39">
        <v>67001.759999999995</v>
      </c>
      <c r="K150" s="39">
        <v>8</v>
      </c>
      <c r="L150" s="39">
        <v>17478.72</v>
      </c>
      <c r="M150" s="39">
        <v>0</v>
      </c>
      <c r="N150" s="39">
        <v>0</v>
      </c>
      <c r="O150" s="39">
        <v>984530.52</v>
      </c>
      <c r="P150" s="2"/>
      <c r="Q150" s="47">
        <v>184151.1300000005</v>
      </c>
      <c r="R150" s="48">
        <v>195096.14000000054</v>
      </c>
      <c r="S150" s="48">
        <v>295358.83000000048</v>
      </c>
      <c r="T150" s="49"/>
    </row>
    <row r="151" spans="1:20" s="50" customFormat="1" x14ac:dyDescent="0.2">
      <c r="A151" s="50">
        <v>353</v>
      </c>
      <c r="B151" s="50" t="s">
        <v>167</v>
      </c>
      <c r="C151" s="50" t="b">
        <f t="shared" si="2"/>
        <v>1</v>
      </c>
      <c r="D151" s="43"/>
      <c r="E151" s="44">
        <v>353</v>
      </c>
      <c r="F151" s="45" t="s">
        <v>167</v>
      </c>
      <c r="G151" s="46">
        <v>11</v>
      </c>
      <c r="H151" s="39">
        <v>46922.04</v>
      </c>
      <c r="I151" s="39">
        <v>1</v>
      </c>
      <c r="J151" s="39">
        <v>2392.92</v>
      </c>
      <c r="K151" s="39">
        <v>0</v>
      </c>
      <c r="L151" s="39">
        <v>0</v>
      </c>
      <c r="M151" s="39">
        <v>0</v>
      </c>
      <c r="N151" s="39">
        <v>0</v>
      </c>
      <c r="O151" s="39">
        <v>49314.96</v>
      </c>
      <c r="P151" s="2"/>
      <c r="Q151" s="47">
        <v>9384.4299999999985</v>
      </c>
      <c r="R151" s="48">
        <v>10716.139999999998</v>
      </c>
      <c r="S151" s="48">
        <v>14794.470000000003</v>
      </c>
      <c r="T151" s="49"/>
    </row>
    <row r="152" spans="1:20" s="50" customFormat="1" x14ac:dyDescent="0.2">
      <c r="A152" s="50">
        <v>355</v>
      </c>
      <c r="B152" s="50" t="s">
        <v>168</v>
      </c>
      <c r="C152" s="50" t="b">
        <f t="shared" si="2"/>
        <v>1</v>
      </c>
      <c r="D152" s="43"/>
      <c r="E152" s="44">
        <v>355</v>
      </c>
      <c r="F152" s="45" t="s">
        <v>168</v>
      </c>
      <c r="G152" s="46">
        <v>4</v>
      </c>
      <c r="H152" s="39">
        <v>17062.560000000001</v>
      </c>
      <c r="I152" s="39">
        <v>2</v>
      </c>
      <c r="J152" s="39">
        <v>4785.84</v>
      </c>
      <c r="K152" s="39">
        <v>0</v>
      </c>
      <c r="L152" s="39">
        <v>0</v>
      </c>
      <c r="M152" s="39">
        <v>0</v>
      </c>
      <c r="N152" s="39">
        <v>0</v>
      </c>
      <c r="O152" s="39">
        <v>21848.400000000001</v>
      </c>
      <c r="P152" s="2"/>
      <c r="Q152" s="47">
        <v>4369.68</v>
      </c>
      <c r="R152" s="48">
        <v>4369.68</v>
      </c>
      <c r="S152" s="48">
        <v>6554.52</v>
      </c>
      <c r="T152" s="49"/>
    </row>
    <row r="153" spans="1:20" s="50" customFormat="1" x14ac:dyDescent="0.2">
      <c r="A153" s="50">
        <v>357</v>
      </c>
      <c r="B153" s="50" t="s">
        <v>169</v>
      </c>
      <c r="C153" s="50" t="b">
        <f t="shared" si="2"/>
        <v>1</v>
      </c>
      <c r="D153" s="43"/>
      <c r="E153" s="44">
        <v>357</v>
      </c>
      <c r="F153" s="45" t="s">
        <v>169</v>
      </c>
      <c r="G153" s="46">
        <v>128</v>
      </c>
      <c r="H153" s="39">
        <v>546001.92000000004</v>
      </c>
      <c r="I153" s="39">
        <v>16</v>
      </c>
      <c r="J153" s="39">
        <v>38286.720000000001</v>
      </c>
      <c r="K153" s="39">
        <v>11</v>
      </c>
      <c r="L153" s="39">
        <v>24033.24</v>
      </c>
      <c r="M153" s="39">
        <v>1</v>
      </c>
      <c r="N153" s="39">
        <v>832.32</v>
      </c>
      <c r="O153" s="39">
        <v>609154.19999999995</v>
      </c>
      <c r="P153" s="2"/>
      <c r="Q153" s="47">
        <v>114943.62000000021</v>
      </c>
      <c r="R153" s="48">
        <v>118626.63000000022</v>
      </c>
      <c r="S153" s="48">
        <v>182746.05000000028</v>
      </c>
      <c r="T153" s="49"/>
    </row>
    <row r="154" spans="1:20" s="50" customFormat="1" x14ac:dyDescent="0.2">
      <c r="A154" s="50">
        <v>358</v>
      </c>
      <c r="B154" s="50" t="s">
        <v>170</v>
      </c>
      <c r="C154" s="50" t="b">
        <f t="shared" si="2"/>
        <v>1</v>
      </c>
      <c r="D154" s="43"/>
      <c r="E154" s="44">
        <v>358</v>
      </c>
      <c r="F154" s="45" t="s">
        <v>170</v>
      </c>
      <c r="G154" s="46">
        <v>0</v>
      </c>
      <c r="H154" s="39">
        <v>0</v>
      </c>
      <c r="I154" s="39">
        <v>0</v>
      </c>
      <c r="J154" s="39">
        <v>0</v>
      </c>
      <c r="K154" s="39">
        <v>0</v>
      </c>
      <c r="L154" s="39">
        <v>0</v>
      </c>
      <c r="M154" s="39">
        <v>0</v>
      </c>
      <c r="N154" s="39">
        <v>0</v>
      </c>
      <c r="O154" s="39">
        <v>0</v>
      </c>
      <c r="P154" s="2"/>
      <c r="Q154" s="47">
        <v>0</v>
      </c>
      <c r="R154" s="48">
        <v>0</v>
      </c>
      <c r="S154" s="48">
        <v>0</v>
      </c>
      <c r="T154" s="49"/>
    </row>
    <row r="155" spans="1:20" s="50" customFormat="1" x14ac:dyDescent="0.2">
      <c r="A155" s="50">
        <v>359</v>
      </c>
      <c r="B155" s="50" t="s">
        <v>171</v>
      </c>
      <c r="C155" s="50" t="b">
        <f t="shared" si="2"/>
        <v>1</v>
      </c>
      <c r="D155" s="43"/>
      <c r="E155" s="44">
        <v>359</v>
      </c>
      <c r="F155" s="45" t="s">
        <v>171</v>
      </c>
      <c r="G155" s="46">
        <v>52</v>
      </c>
      <c r="H155" s="39">
        <v>221813.28</v>
      </c>
      <c r="I155" s="39">
        <v>12</v>
      </c>
      <c r="J155" s="39">
        <v>28715.040000000001</v>
      </c>
      <c r="K155" s="39">
        <v>8</v>
      </c>
      <c r="L155" s="39">
        <v>17478.72</v>
      </c>
      <c r="M155" s="39">
        <v>0</v>
      </c>
      <c r="N155" s="39">
        <v>0</v>
      </c>
      <c r="O155" s="39">
        <v>268007.04000000004</v>
      </c>
      <c r="P155" s="2"/>
      <c r="Q155" s="47">
        <v>38869.39999999998</v>
      </c>
      <c r="R155" s="48">
        <v>49751.989999999969</v>
      </c>
      <c r="S155" s="48">
        <v>80402.040000000052</v>
      </c>
      <c r="T155" s="49"/>
    </row>
    <row r="156" spans="1:20" s="50" customFormat="1" x14ac:dyDescent="0.2">
      <c r="A156" s="50">
        <v>365</v>
      </c>
      <c r="B156" s="50" t="s">
        <v>172</v>
      </c>
      <c r="C156" s="50" t="b">
        <f t="shared" si="2"/>
        <v>1</v>
      </c>
      <c r="D156" s="43"/>
      <c r="E156" s="44">
        <v>365</v>
      </c>
      <c r="F156" s="45" t="s">
        <v>172</v>
      </c>
      <c r="G156" s="46">
        <v>7</v>
      </c>
      <c r="H156" s="39">
        <v>29859.48</v>
      </c>
      <c r="I156" s="39">
        <v>2</v>
      </c>
      <c r="J156" s="39">
        <v>4785.84</v>
      </c>
      <c r="K156" s="39">
        <v>1</v>
      </c>
      <c r="L156" s="39">
        <v>2184.84</v>
      </c>
      <c r="M156" s="39">
        <v>0</v>
      </c>
      <c r="N156" s="39">
        <v>0</v>
      </c>
      <c r="O156" s="39">
        <v>36830.160000000003</v>
      </c>
      <c r="P156" s="2"/>
      <c r="Q156" s="47">
        <v>7366.04</v>
      </c>
      <c r="R156" s="48">
        <v>7366.04</v>
      </c>
      <c r="S156" s="48">
        <v>11049.04</v>
      </c>
      <c r="T156" s="49"/>
    </row>
    <row r="157" spans="1:20" s="50" customFormat="1" x14ac:dyDescent="0.2">
      <c r="A157" s="50">
        <v>367</v>
      </c>
      <c r="B157" s="50" t="s">
        <v>173</v>
      </c>
      <c r="C157" s="50" t="b">
        <f t="shared" si="2"/>
        <v>1</v>
      </c>
      <c r="D157" s="43"/>
      <c r="E157" s="44">
        <v>367</v>
      </c>
      <c r="F157" s="45" t="s">
        <v>173</v>
      </c>
      <c r="G157" s="46">
        <v>39</v>
      </c>
      <c r="H157" s="39">
        <v>166359.96</v>
      </c>
      <c r="I157" s="39">
        <v>3</v>
      </c>
      <c r="J157" s="39">
        <v>7178.76</v>
      </c>
      <c r="K157" s="39">
        <v>11</v>
      </c>
      <c r="L157" s="39">
        <v>24033.24</v>
      </c>
      <c r="M157" s="39">
        <v>0</v>
      </c>
      <c r="N157" s="39">
        <v>0</v>
      </c>
      <c r="O157" s="39">
        <v>197571.96</v>
      </c>
      <c r="P157" s="2"/>
      <c r="Q157" s="47">
        <v>40367.609999999986</v>
      </c>
      <c r="R157" s="48">
        <v>39514.479999999989</v>
      </c>
      <c r="S157" s="48">
        <v>59271.500000000036</v>
      </c>
      <c r="T157" s="49"/>
    </row>
    <row r="158" spans="1:20" s="50" customFormat="1" x14ac:dyDescent="0.2">
      <c r="A158" s="50">
        <v>369</v>
      </c>
      <c r="B158" s="50" t="s">
        <v>174</v>
      </c>
      <c r="C158" s="50" t="b">
        <f t="shared" si="2"/>
        <v>1</v>
      </c>
      <c r="D158" s="43"/>
      <c r="E158" s="44">
        <v>369</v>
      </c>
      <c r="F158" s="45" t="s">
        <v>174</v>
      </c>
      <c r="G158" s="46">
        <v>26</v>
      </c>
      <c r="H158" s="39">
        <v>110906.64</v>
      </c>
      <c r="I158" s="39">
        <v>6</v>
      </c>
      <c r="J158" s="39">
        <v>14357.52</v>
      </c>
      <c r="K158" s="39">
        <v>1</v>
      </c>
      <c r="L158" s="39">
        <v>2184.84</v>
      </c>
      <c r="M158" s="39">
        <v>0</v>
      </c>
      <c r="N158" s="39">
        <v>0</v>
      </c>
      <c r="O158" s="39">
        <v>127449</v>
      </c>
      <c r="P158" s="2"/>
      <c r="Q158" s="47">
        <v>18394.309999999994</v>
      </c>
      <c r="R158" s="48">
        <v>23721.15</v>
      </c>
      <c r="S158" s="48">
        <v>38234.67</v>
      </c>
      <c r="T158" s="49"/>
    </row>
    <row r="159" spans="1:20" s="50" customFormat="1" x14ac:dyDescent="0.2">
      <c r="A159" s="50">
        <v>371</v>
      </c>
      <c r="B159" s="50" t="s">
        <v>175</v>
      </c>
      <c r="C159" s="50" t="b">
        <f t="shared" si="2"/>
        <v>1</v>
      </c>
      <c r="D159" s="43"/>
      <c r="E159" s="44">
        <v>371</v>
      </c>
      <c r="F159" s="45" t="s">
        <v>175</v>
      </c>
      <c r="G159" s="46">
        <v>617</v>
      </c>
      <c r="H159" s="39">
        <v>2631899.88</v>
      </c>
      <c r="I159" s="39">
        <v>116</v>
      </c>
      <c r="J159" s="39">
        <v>277578.71999999997</v>
      </c>
      <c r="K159" s="39">
        <v>39</v>
      </c>
      <c r="L159" s="39">
        <v>85208.76</v>
      </c>
      <c r="M159" s="39">
        <v>5</v>
      </c>
      <c r="N159" s="39">
        <v>4161.6000000000004</v>
      </c>
      <c r="O159" s="39">
        <v>2998848.9599999995</v>
      </c>
      <c r="P159" s="2"/>
      <c r="Q159" s="47">
        <v>553327.2400000022</v>
      </c>
      <c r="R159" s="48">
        <v>596129.23000000231</v>
      </c>
      <c r="S159" s="48">
        <v>899653.85999998683</v>
      </c>
      <c r="T159" s="49"/>
    </row>
    <row r="160" spans="1:20" s="50" customFormat="1" x14ac:dyDescent="0.2">
      <c r="A160" s="50">
        <v>375</v>
      </c>
      <c r="B160" s="50" t="s">
        <v>176</v>
      </c>
      <c r="C160" s="50" t="b">
        <f t="shared" si="2"/>
        <v>1</v>
      </c>
      <c r="D160" s="43"/>
      <c r="E160" s="44">
        <v>375</v>
      </c>
      <c r="F160" s="45" t="s">
        <v>176</v>
      </c>
      <c r="G160" s="46">
        <v>20</v>
      </c>
      <c r="H160" s="39">
        <v>85312.8</v>
      </c>
      <c r="I160" s="39">
        <v>2</v>
      </c>
      <c r="J160" s="39">
        <v>4785.84</v>
      </c>
      <c r="K160" s="39">
        <v>0</v>
      </c>
      <c r="L160" s="39">
        <v>0</v>
      </c>
      <c r="M160" s="39">
        <v>0</v>
      </c>
      <c r="N160" s="39">
        <v>0</v>
      </c>
      <c r="O160" s="39">
        <v>90098.64</v>
      </c>
      <c r="P160" s="2"/>
      <c r="Q160" s="47">
        <v>18394.30999999999</v>
      </c>
      <c r="R160" s="48">
        <v>18019.759999999991</v>
      </c>
      <c r="S160" s="48">
        <v>27029.559999999998</v>
      </c>
      <c r="T160" s="49"/>
    </row>
    <row r="161" spans="1:20" s="50" customFormat="1" x14ac:dyDescent="0.2">
      <c r="A161" s="50">
        <v>377</v>
      </c>
      <c r="B161" s="50" t="s">
        <v>177</v>
      </c>
      <c r="C161" s="50" t="b">
        <f t="shared" si="2"/>
        <v>1</v>
      </c>
      <c r="D161" s="43"/>
      <c r="E161" s="44">
        <v>377</v>
      </c>
      <c r="F161" s="45" t="s">
        <v>177</v>
      </c>
      <c r="G161" s="46">
        <v>84</v>
      </c>
      <c r="H161" s="39">
        <v>358313.76</v>
      </c>
      <c r="I161" s="39">
        <v>14</v>
      </c>
      <c r="J161" s="39">
        <v>33500.879999999997</v>
      </c>
      <c r="K161" s="39">
        <v>4</v>
      </c>
      <c r="L161" s="39">
        <v>8739.36</v>
      </c>
      <c r="M161" s="39">
        <v>0</v>
      </c>
      <c r="N161" s="39">
        <v>0</v>
      </c>
      <c r="O161" s="39">
        <v>400554</v>
      </c>
      <c r="P161" s="2"/>
      <c r="Q161" s="47">
        <v>75262.659999999974</v>
      </c>
      <c r="R161" s="48">
        <v>77385.079999999987</v>
      </c>
      <c r="S161" s="48">
        <v>120166.08000000013</v>
      </c>
      <c r="T161" s="49"/>
    </row>
    <row r="162" spans="1:20" s="50" customFormat="1" x14ac:dyDescent="0.2">
      <c r="A162" s="50">
        <v>379</v>
      </c>
      <c r="B162" s="50" t="s">
        <v>178</v>
      </c>
      <c r="C162" s="50" t="b">
        <f t="shared" si="2"/>
        <v>1</v>
      </c>
      <c r="D162" s="43"/>
      <c r="E162" s="44">
        <v>379</v>
      </c>
      <c r="F162" s="45" t="s">
        <v>178</v>
      </c>
      <c r="G162" s="46">
        <v>26</v>
      </c>
      <c r="H162" s="39">
        <v>110906.64</v>
      </c>
      <c r="I162" s="39">
        <v>2</v>
      </c>
      <c r="J162" s="39">
        <v>4785.84</v>
      </c>
      <c r="K162" s="39">
        <v>1</v>
      </c>
      <c r="L162" s="39">
        <v>2184.84</v>
      </c>
      <c r="M162" s="39">
        <v>0</v>
      </c>
      <c r="N162" s="39">
        <v>0</v>
      </c>
      <c r="O162" s="39">
        <v>117877.31999999999</v>
      </c>
      <c r="P162" s="2"/>
      <c r="Q162" s="47">
        <v>20475.119999999995</v>
      </c>
      <c r="R162" s="48">
        <v>23575.510000000002</v>
      </c>
      <c r="S162" s="48">
        <v>35363.149999999994</v>
      </c>
      <c r="T162" s="49"/>
    </row>
    <row r="163" spans="1:20" s="50" customFormat="1" x14ac:dyDescent="0.2">
      <c r="A163" s="50">
        <v>381</v>
      </c>
      <c r="B163" s="50" t="s">
        <v>179</v>
      </c>
      <c r="C163" s="50" t="b">
        <f t="shared" si="2"/>
        <v>1</v>
      </c>
      <c r="D163" s="43"/>
      <c r="E163" s="44">
        <v>381</v>
      </c>
      <c r="F163" s="45" t="s">
        <v>179</v>
      </c>
      <c r="G163" s="46">
        <v>5</v>
      </c>
      <c r="H163" s="39">
        <v>21328.2</v>
      </c>
      <c r="I163" s="39">
        <v>0</v>
      </c>
      <c r="J163" s="39">
        <v>0</v>
      </c>
      <c r="K163" s="39">
        <v>0</v>
      </c>
      <c r="L163" s="39">
        <v>0</v>
      </c>
      <c r="M163" s="39">
        <v>0</v>
      </c>
      <c r="N163" s="39">
        <v>0</v>
      </c>
      <c r="O163" s="39">
        <v>21328.2</v>
      </c>
      <c r="P163" s="2"/>
      <c r="Q163" s="47">
        <v>2559.39</v>
      </c>
      <c r="R163" s="48">
        <v>4265.6499999999996</v>
      </c>
      <c r="S163" s="48">
        <v>6398.4500000000007</v>
      </c>
      <c r="T163" s="49"/>
    </row>
    <row r="164" spans="1:20" s="50" customFormat="1" x14ac:dyDescent="0.2">
      <c r="A164" s="50">
        <v>383</v>
      </c>
      <c r="B164" s="50" t="s">
        <v>180</v>
      </c>
      <c r="C164" s="50" t="b">
        <f t="shared" si="2"/>
        <v>1</v>
      </c>
      <c r="D164" s="43"/>
      <c r="E164" s="44">
        <v>383</v>
      </c>
      <c r="F164" s="45" t="s">
        <v>180</v>
      </c>
      <c r="G164" s="46">
        <v>18</v>
      </c>
      <c r="H164" s="39">
        <v>76781.52</v>
      </c>
      <c r="I164" s="39">
        <v>3</v>
      </c>
      <c r="J164" s="39">
        <v>7178.76</v>
      </c>
      <c r="K164" s="39">
        <v>1</v>
      </c>
      <c r="L164" s="39">
        <v>2184.84</v>
      </c>
      <c r="M164" s="39">
        <v>0</v>
      </c>
      <c r="N164" s="39">
        <v>0</v>
      </c>
      <c r="O164" s="39">
        <v>86145.12</v>
      </c>
      <c r="P164" s="2"/>
      <c r="Q164" s="47">
        <v>17083.409999999996</v>
      </c>
      <c r="R164" s="48">
        <v>14669.659999999996</v>
      </c>
      <c r="S164" s="48">
        <v>25843.509999999995</v>
      </c>
      <c r="T164" s="49"/>
    </row>
    <row r="165" spans="1:20" s="50" customFormat="1" x14ac:dyDescent="0.2">
      <c r="A165" s="50">
        <v>387</v>
      </c>
      <c r="B165" s="50" t="s">
        <v>181</v>
      </c>
      <c r="C165" s="50" t="b">
        <f t="shared" si="2"/>
        <v>1</v>
      </c>
      <c r="D165" s="43"/>
      <c r="E165" s="44">
        <v>387</v>
      </c>
      <c r="F165" s="45" t="s">
        <v>181</v>
      </c>
      <c r="G165" s="46">
        <v>20</v>
      </c>
      <c r="H165" s="39">
        <v>85312.8</v>
      </c>
      <c r="I165" s="39">
        <v>1</v>
      </c>
      <c r="J165" s="39">
        <v>2392.92</v>
      </c>
      <c r="K165" s="39">
        <v>1</v>
      </c>
      <c r="L165" s="39">
        <v>2184.84</v>
      </c>
      <c r="M165" s="39">
        <v>0</v>
      </c>
      <c r="N165" s="39">
        <v>0</v>
      </c>
      <c r="O165" s="39">
        <v>89890.559999999998</v>
      </c>
      <c r="P165" s="2"/>
      <c r="Q165" s="47">
        <v>17978.149999999994</v>
      </c>
      <c r="R165" s="48">
        <v>17978.149999999994</v>
      </c>
      <c r="S165" s="48">
        <v>26967.129999999994</v>
      </c>
      <c r="T165" s="49"/>
    </row>
    <row r="166" spans="1:20" s="50" customFormat="1" x14ac:dyDescent="0.2">
      <c r="A166" s="50">
        <v>389</v>
      </c>
      <c r="B166" s="50" t="s">
        <v>182</v>
      </c>
      <c r="C166" s="50" t="b">
        <f t="shared" si="2"/>
        <v>1</v>
      </c>
      <c r="D166" s="43"/>
      <c r="E166" s="44">
        <v>389</v>
      </c>
      <c r="F166" s="45" t="s">
        <v>182</v>
      </c>
      <c r="G166" s="46">
        <v>37</v>
      </c>
      <c r="H166" s="39">
        <v>157828.68</v>
      </c>
      <c r="I166" s="39">
        <v>6</v>
      </c>
      <c r="J166" s="39">
        <v>14357.52</v>
      </c>
      <c r="K166" s="39">
        <v>0</v>
      </c>
      <c r="L166" s="39">
        <v>0</v>
      </c>
      <c r="M166" s="39">
        <v>0</v>
      </c>
      <c r="N166" s="39">
        <v>0</v>
      </c>
      <c r="O166" s="39">
        <v>172186.19999999998</v>
      </c>
      <c r="P166" s="2"/>
      <c r="Q166" s="47">
        <v>33584.160000000011</v>
      </c>
      <c r="R166" s="48">
        <v>34437.290000000008</v>
      </c>
      <c r="S166" s="48">
        <v>51655.810000000019</v>
      </c>
      <c r="T166" s="49"/>
    </row>
    <row r="167" spans="1:20" s="50" customFormat="1" x14ac:dyDescent="0.2">
      <c r="A167" s="50">
        <v>391</v>
      </c>
      <c r="B167" s="50" t="s">
        <v>183</v>
      </c>
      <c r="C167" s="50" t="b">
        <f t="shared" si="2"/>
        <v>1</v>
      </c>
      <c r="D167" s="43"/>
      <c r="E167" s="44">
        <v>391</v>
      </c>
      <c r="F167" s="45" t="s">
        <v>183</v>
      </c>
      <c r="G167" s="46">
        <v>4</v>
      </c>
      <c r="H167" s="39">
        <v>17062.560000000001</v>
      </c>
      <c r="I167" s="39">
        <v>0</v>
      </c>
      <c r="J167" s="39">
        <v>0</v>
      </c>
      <c r="K167" s="39">
        <v>0</v>
      </c>
      <c r="L167" s="39">
        <v>0</v>
      </c>
      <c r="M167" s="39">
        <v>0</v>
      </c>
      <c r="N167" s="39">
        <v>0</v>
      </c>
      <c r="O167" s="39">
        <v>17062.560000000001</v>
      </c>
      <c r="P167" s="2"/>
      <c r="Q167" s="47">
        <v>3412.52</v>
      </c>
      <c r="R167" s="48">
        <v>3412.52</v>
      </c>
      <c r="S167" s="48">
        <v>5118.76</v>
      </c>
      <c r="T167" s="49"/>
    </row>
    <row r="168" spans="1:20" s="50" customFormat="1" x14ac:dyDescent="0.2">
      <c r="A168" s="50">
        <v>393</v>
      </c>
      <c r="B168" s="50" t="s">
        <v>184</v>
      </c>
      <c r="C168" s="50" t="b">
        <f t="shared" si="2"/>
        <v>1</v>
      </c>
      <c r="D168" s="43"/>
      <c r="E168" s="44">
        <v>393</v>
      </c>
      <c r="F168" s="45" t="s">
        <v>184</v>
      </c>
      <c r="G168" s="46">
        <v>123</v>
      </c>
      <c r="H168" s="39">
        <v>524673.72</v>
      </c>
      <c r="I168" s="39">
        <v>16</v>
      </c>
      <c r="J168" s="39">
        <v>38286.720000000001</v>
      </c>
      <c r="K168" s="39">
        <v>6</v>
      </c>
      <c r="L168" s="39">
        <v>13109.04</v>
      </c>
      <c r="M168" s="39">
        <v>0</v>
      </c>
      <c r="N168" s="39">
        <v>0</v>
      </c>
      <c r="O168" s="39">
        <v>576069.48</v>
      </c>
      <c r="P168" s="2"/>
      <c r="Q168" s="47">
        <v>108805.25000000013</v>
      </c>
      <c r="R168" s="48">
        <v>110095.31000000014</v>
      </c>
      <c r="S168" s="48">
        <v>172820.65000000026</v>
      </c>
      <c r="T168" s="49"/>
    </row>
    <row r="169" spans="1:20" s="50" customFormat="1" x14ac:dyDescent="0.2">
      <c r="A169" s="50">
        <v>395</v>
      </c>
      <c r="B169" s="50" t="s">
        <v>185</v>
      </c>
      <c r="C169" s="50" t="b">
        <f t="shared" si="2"/>
        <v>1</v>
      </c>
      <c r="D169" s="43"/>
      <c r="E169" s="44">
        <v>395</v>
      </c>
      <c r="F169" s="45" t="s">
        <v>185</v>
      </c>
      <c r="G169" s="46">
        <v>37</v>
      </c>
      <c r="H169" s="39">
        <v>157828.68</v>
      </c>
      <c r="I169" s="39">
        <v>4</v>
      </c>
      <c r="J169" s="39">
        <v>9571.68</v>
      </c>
      <c r="K169" s="39">
        <v>4</v>
      </c>
      <c r="L169" s="39">
        <v>8739.36</v>
      </c>
      <c r="M169" s="39">
        <v>0</v>
      </c>
      <c r="N169" s="39">
        <v>0</v>
      </c>
      <c r="O169" s="39">
        <v>176139.71999999997</v>
      </c>
      <c r="P169" s="2"/>
      <c r="Q169" s="47">
        <v>31690.650000000009</v>
      </c>
      <c r="R169" s="48">
        <v>35228.010000000009</v>
      </c>
      <c r="S169" s="48">
        <v>52841.85000000002</v>
      </c>
      <c r="T169" s="49"/>
    </row>
    <row r="170" spans="1:20" s="50" customFormat="1" x14ac:dyDescent="0.2">
      <c r="A170" s="50">
        <v>399</v>
      </c>
      <c r="B170" s="50" t="s">
        <v>186</v>
      </c>
      <c r="C170" s="50" t="b">
        <f t="shared" si="2"/>
        <v>1</v>
      </c>
      <c r="D170" s="43"/>
      <c r="E170" s="44">
        <v>399</v>
      </c>
      <c r="F170" s="45" t="s">
        <v>186</v>
      </c>
      <c r="G170" s="46">
        <v>49</v>
      </c>
      <c r="H170" s="39">
        <v>209016.36</v>
      </c>
      <c r="I170" s="39">
        <v>7</v>
      </c>
      <c r="J170" s="39">
        <v>16750.439999999999</v>
      </c>
      <c r="K170" s="39">
        <v>7</v>
      </c>
      <c r="L170" s="39">
        <v>15293.88</v>
      </c>
      <c r="M170" s="39">
        <v>0</v>
      </c>
      <c r="N170" s="39">
        <v>0</v>
      </c>
      <c r="O170" s="39">
        <v>241060.68</v>
      </c>
      <c r="P170" s="2"/>
      <c r="Q170" s="47">
        <v>42760.539999999979</v>
      </c>
      <c r="R170" s="48">
        <v>44217.089999999975</v>
      </c>
      <c r="S170" s="48">
        <v>72318.120000000039</v>
      </c>
      <c r="T170" s="49"/>
    </row>
    <row r="171" spans="1:20" s="50" customFormat="1" x14ac:dyDescent="0.2">
      <c r="A171" s="50">
        <v>401</v>
      </c>
      <c r="B171" s="50" t="s">
        <v>187</v>
      </c>
      <c r="C171" s="50" t="b">
        <f t="shared" si="2"/>
        <v>1</v>
      </c>
      <c r="D171" s="43"/>
      <c r="E171" s="44">
        <v>401</v>
      </c>
      <c r="F171" s="45" t="s">
        <v>187</v>
      </c>
      <c r="G171" s="46">
        <v>68</v>
      </c>
      <c r="H171" s="39">
        <v>290063.52</v>
      </c>
      <c r="I171" s="39">
        <v>22</v>
      </c>
      <c r="J171" s="39">
        <v>52644.24</v>
      </c>
      <c r="K171" s="39">
        <v>5</v>
      </c>
      <c r="L171" s="39">
        <v>10924.2</v>
      </c>
      <c r="M171" s="39">
        <v>0</v>
      </c>
      <c r="N171" s="39">
        <v>0</v>
      </c>
      <c r="O171" s="39">
        <v>353631.96</v>
      </c>
      <c r="P171" s="2"/>
      <c r="Q171" s="47">
        <v>68104.639999999941</v>
      </c>
      <c r="R171" s="48">
        <v>70726.449999999953</v>
      </c>
      <c r="S171" s="48">
        <v>106089.53000000012</v>
      </c>
      <c r="T171" s="49"/>
    </row>
    <row r="172" spans="1:20" s="50" customFormat="1" x14ac:dyDescent="0.2">
      <c r="A172" s="50">
        <v>403</v>
      </c>
      <c r="B172" s="50" t="s">
        <v>188</v>
      </c>
      <c r="C172" s="50" t="b">
        <f t="shared" si="2"/>
        <v>1</v>
      </c>
      <c r="D172" s="43"/>
      <c r="E172" s="44">
        <v>403</v>
      </c>
      <c r="F172" s="45" t="s">
        <v>188</v>
      </c>
      <c r="G172" s="46">
        <v>20</v>
      </c>
      <c r="H172" s="39">
        <v>85312.8</v>
      </c>
      <c r="I172" s="39">
        <v>1</v>
      </c>
      <c r="J172" s="39">
        <v>2392.92</v>
      </c>
      <c r="K172" s="39">
        <v>4</v>
      </c>
      <c r="L172" s="39">
        <v>8739.36</v>
      </c>
      <c r="M172" s="39">
        <v>0</v>
      </c>
      <c r="N172" s="39">
        <v>0</v>
      </c>
      <c r="O172" s="39">
        <v>96445.08</v>
      </c>
      <c r="P172" s="2"/>
      <c r="Q172" s="47">
        <v>16708.859999999993</v>
      </c>
      <c r="R172" s="48">
        <v>16708.859999999993</v>
      </c>
      <c r="S172" s="48">
        <v>28933.479999999989</v>
      </c>
      <c r="T172" s="49"/>
    </row>
    <row r="173" spans="1:20" s="50" customFormat="1" x14ac:dyDescent="0.2">
      <c r="A173" s="50">
        <v>404</v>
      </c>
      <c r="B173" s="50" t="s">
        <v>189</v>
      </c>
      <c r="C173" s="50" t="b">
        <f t="shared" si="2"/>
        <v>1</v>
      </c>
      <c r="D173" s="43"/>
      <c r="E173" s="44">
        <v>404</v>
      </c>
      <c r="F173" s="45" t="s">
        <v>189</v>
      </c>
      <c r="G173" s="46">
        <v>54</v>
      </c>
      <c r="H173" s="39">
        <v>230344.56</v>
      </c>
      <c r="I173" s="39">
        <v>15</v>
      </c>
      <c r="J173" s="39">
        <v>35893.800000000003</v>
      </c>
      <c r="K173" s="39">
        <v>2</v>
      </c>
      <c r="L173" s="39">
        <v>4369.68</v>
      </c>
      <c r="M173" s="39">
        <v>0</v>
      </c>
      <c r="N173" s="39">
        <v>0</v>
      </c>
      <c r="O173" s="39">
        <v>270608.03999999998</v>
      </c>
      <c r="P173" s="2"/>
      <c r="Q173" s="47">
        <v>51416.629999999961</v>
      </c>
      <c r="R173" s="48">
        <v>56264.889999999948</v>
      </c>
      <c r="S173" s="48">
        <v>81182.360000000073</v>
      </c>
      <c r="T173" s="49"/>
    </row>
    <row r="174" spans="1:20" s="50" customFormat="1" x14ac:dyDescent="0.2">
      <c r="A174" s="53">
        <v>405</v>
      </c>
      <c r="B174" s="54" t="s">
        <v>190</v>
      </c>
      <c r="C174" s="54" t="b">
        <f t="shared" si="2"/>
        <v>1</v>
      </c>
      <c r="D174" s="43"/>
      <c r="E174" s="44">
        <v>405</v>
      </c>
      <c r="F174" s="45" t="s">
        <v>190</v>
      </c>
      <c r="G174" s="46">
        <v>29</v>
      </c>
      <c r="H174" s="39">
        <v>123703.56</v>
      </c>
      <c r="I174" s="39">
        <v>0</v>
      </c>
      <c r="J174" s="39">
        <v>0</v>
      </c>
      <c r="K174" s="39">
        <v>4</v>
      </c>
      <c r="L174" s="39">
        <v>8739.36</v>
      </c>
      <c r="M174" s="39">
        <v>0</v>
      </c>
      <c r="N174" s="39">
        <v>0</v>
      </c>
      <c r="O174" s="39">
        <v>132442.91999999998</v>
      </c>
      <c r="P174" s="2"/>
      <c r="Q174" s="47">
        <v>27778.750000000004</v>
      </c>
      <c r="R174" s="48">
        <v>26488.650000000005</v>
      </c>
      <c r="S174" s="48">
        <v>39732.810000000005</v>
      </c>
      <c r="T174" s="49"/>
    </row>
    <row r="175" spans="1:20" s="50" customFormat="1" x14ac:dyDescent="0.2">
      <c r="A175" s="50">
        <v>407</v>
      </c>
      <c r="B175" s="50" t="s">
        <v>191</v>
      </c>
      <c r="C175" s="50" t="b">
        <f t="shared" si="2"/>
        <v>1</v>
      </c>
      <c r="D175" s="43"/>
      <c r="E175" s="44">
        <v>407</v>
      </c>
      <c r="F175" s="45" t="s">
        <v>191</v>
      </c>
      <c r="G175" s="46">
        <v>19</v>
      </c>
      <c r="H175" s="39">
        <v>81047.16</v>
      </c>
      <c r="I175" s="39">
        <v>11</v>
      </c>
      <c r="J175" s="39">
        <v>26322.12</v>
      </c>
      <c r="K175" s="39">
        <v>2</v>
      </c>
      <c r="L175" s="39">
        <v>4369.68</v>
      </c>
      <c r="M175" s="39">
        <v>0</v>
      </c>
      <c r="N175" s="39">
        <v>0</v>
      </c>
      <c r="O175" s="39">
        <v>111738.95999999999</v>
      </c>
      <c r="P175" s="2"/>
      <c r="Q175" s="47">
        <v>12172.689999999997</v>
      </c>
      <c r="R175" s="48">
        <v>21494.659999999993</v>
      </c>
      <c r="S175" s="48">
        <v>33521.69</v>
      </c>
      <c r="T175" s="49"/>
    </row>
    <row r="176" spans="1:20" s="50" customFormat="1" x14ac:dyDescent="0.2">
      <c r="A176" s="50">
        <v>411</v>
      </c>
      <c r="B176" s="50" t="s">
        <v>192</v>
      </c>
      <c r="C176" s="50" t="b">
        <f t="shared" si="2"/>
        <v>1</v>
      </c>
      <c r="D176" s="43"/>
      <c r="E176" s="44">
        <v>411</v>
      </c>
      <c r="F176" s="45" t="s">
        <v>192</v>
      </c>
      <c r="G176" s="46">
        <v>34</v>
      </c>
      <c r="H176" s="39">
        <v>145031.76</v>
      </c>
      <c r="I176" s="39">
        <v>12</v>
      </c>
      <c r="J176" s="39">
        <v>28715.040000000001</v>
      </c>
      <c r="K176" s="39">
        <v>4</v>
      </c>
      <c r="L176" s="39">
        <v>8739.36</v>
      </c>
      <c r="M176" s="39">
        <v>0</v>
      </c>
      <c r="N176" s="39">
        <v>0</v>
      </c>
      <c r="O176" s="39">
        <v>182486.16000000003</v>
      </c>
      <c r="P176" s="2"/>
      <c r="Q176" s="47">
        <v>32169.190000000002</v>
      </c>
      <c r="R176" s="48">
        <v>33875.449999999997</v>
      </c>
      <c r="S176" s="48">
        <v>54745.820000000014</v>
      </c>
      <c r="T176" s="49"/>
    </row>
    <row r="177" spans="1:20" s="50" customFormat="1" x14ac:dyDescent="0.2">
      <c r="A177" s="50">
        <v>413</v>
      </c>
      <c r="B177" s="50" t="s">
        <v>193</v>
      </c>
      <c r="C177" s="50" t="b">
        <f t="shared" si="2"/>
        <v>1</v>
      </c>
      <c r="D177" s="43"/>
      <c r="E177" s="44">
        <v>413</v>
      </c>
      <c r="F177" s="45" t="s">
        <v>193</v>
      </c>
      <c r="G177" s="46">
        <v>38</v>
      </c>
      <c r="H177" s="39">
        <v>162094.32</v>
      </c>
      <c r="I177" s="39">
        <v>0</v>
      </c>
      <c r="J177" s="39">
        <v>0</v>
      </c>
      <c r="K177" s="39">
        <v>1</v>
      </c>
      <c r="L177" s="39">
        <v>2184.84</v>
      </c>
      <c r="M177" s="39">
        <v>0</v>
      </c>
      <c r="N177" s="39">
        <v>0</v>
      </c>
      <c r="O177" s="39">
        <v>164279.16</v>
      </c>
      <c r="P177" s="2"/>
      <c r="Q177" s="47">
        <v>31149.650000000012</v>
      </c>
      <c r="R177" s="48">
        <v>32002.780000000013</v>
      </c>
      <c r="S177" s="48">
        <v>49283.670000000013</v>
      </c>
      <c r="T177" s="49"/>
    </row>
    <row r="178" spans="1:20" s="50" customFormat="1" x14ac:dyDescent="0.2">
      <c r="A178" s="50">
        <v>414</v>
      </c>
      <c r="B178" s="50" t="s">
        <v>194</v>
      </c>
      <c r="C178" s="50" t="b">
        <f t="shared" si="2"/>
        <v>1</v>
      </c>
      <c r="D178" s="43"/>
      <c r="E178" s="44">
        <v>414</v>
      </c>
      <c r="F178" s="45" t="s">
        <v>194</v>
      </c>
      <c r="G178" s="46">
        <v>0</v>
      </c>
      <c r="H178" s="39">
        <v>0</v>
      </c>
      <c r="I178" s="39">
        <v>0</v>
      </c>
      <c r="J178" s="39">
        <v>0</v>
      </c>
      <c r="K178" s="39">
        <v>0</v>
      </c>
      <c r="L178" s="39">
        <v>0</v>
      </c>
      <c r="M178" s="39">
        <v>0</v>
      </c>
      <c r="N178" s="39">
        <v>0</v>
      </c>
      <c r="O178" s="39">
        <v>0</v>
      </c>
      <c r="P178" s="2"/>
      <c r="Q178" s="47">
        <v>0</v>
      </c>
      <c r="R178" s="48">
        <v>0</v>
      </c>
      <c r="S178" s="48">
        <v>0</v>
      </c>
      <c r="T178" s="49"/>
    </row>
    <row r="179" spans="1:20" s="50" customFormat="1" x14ac:dyDescent="0.2">
      <c r="A179" s="50">
        <v>415</v>
      </c>
      <c r="B179" s="50" t="s">
        <v>195</v>
      </c>
      <c r="C179" s="50" t="b">
        <f t="shared" si="2"/>
        <v>1</v>
      </c>
      <c r="D179" s="43"/>
      <c r="E179" s="44">
        <v>415</v>
      </c>
      <c r="F179" s="45" t="s">
        <v>195</v>
      </c>
      <c r="G179" s="46">
        <v>2</v>
      </c>
      <c r="H179" s="39">
        <v>8531.2800000000007</v>
      </c>
      <c r="I179" s="39">
        <v>0</v>
      </c>
      <c r="J179" s="39">
        <v>0</v>
      </c>
      <c r="K179" s="39">
        <v>0</v>
      </c>
      <c r="L179" s="39">
        <v>0</v>
      </c>
      <c r="M179" s="39">
        <v>0</v>
      </c>
      <c r="N179" s="39">
        <v>0</v>
      </c>
      <c r="O179" s="39">
        <v>8531.2800000000007</v>
      </c>
      <c r="P179" s="2"/>
      <c r="Q179" s="47">
        <v>1706.26</v>
      </c>
      <c r="R179" s="48">
        <v>1706.26</v>
      </c>
      <c r="S179" s="48">
        <v>2559.38</v>
      </c>
      <c r="T179" s="49"/>
    </row>
    <row r="180" spans="1:20" s="50" customFormat="1" x14ac:dyDescent="0.2">
      <c r="D180" s="43"/>
      <c r="E180" s="44">
        <v>419</v>
      </c>
      <c r="F180" s="45" t="s">
        <v>196</v>
      </c>
      <c r="G180" s="46">
        <v>36</v>
      </c>
      <c r="H180" s="39">
        <v>153563.04</v>
      </c>
      <c r="I180" s="39">
        <v>15</v>
      </c>
      <c r="J180" s="39">
        <v>35893.800000000003</v>
      </c>
      <c r="K180" s="39">
        <v>2</v>
      </c>
      <c r="L180" s="39">
        <v>4369.68</v>
      </c>
      <c r="M180" s="39">
        <v>0</v>
      </c>
      <c r="N180" s="39">
        <v>0</v>
      </c>
      <c r="O180" s="39">
        <v>193826.52000000002</v>
      </c>
      <c r="P180" s="2"/>
      <c r="Q180" s="47">
        <v>27945.19</v>
      </c>
      <c r="R180" s="48">
        <v>36955.029999999992</v>
      </c>
      <c r="S180" s="48">
        <v>58147.940000000017</v>
      </c>
      <c r="T180" s="49"/>
    </row>
    <row r="181" spans="1:20" s="50" customFormat="1" x14ac:dyDescent="0.2">
      <c r="A181" s="50">
        <v>419</v>
      </c>
      <c r="B181" s="50" t="s">
        <v>196</v>
      </c>
      <c r="C181" s="50" t="b">
        <f t="shared" si="2"/>
        <v>0</v>
      </c>
      <c r="D181" s="43"/>
      <c r="E181" s="44">
        <v>425</v>
      </c>
      <c r="F181" s="45" t="s">
        <v>197</v>
      </c>
      <c r="G181" s="46">
        <v>161</v>
      </c>
      <c r="H181" s="39">
        <v>686768.04</v>
      </c>
      <c r="I181" s="39">
        <v>26</v>
      </c>
      <c r="J181" s="39">
        <v>62215.92</v>
      </c>
      <c r="K181" s="39">
        <v>15</v>
      </c>
      <c r="L181" s="39">
        <v>32772.6</v>
      </c>
      <c r="M181" s="39">
        <v>0</v>
      </c>
      <c r="N181" s="39">
        <v>0</v>
      </c>
      <c r="O181" s="39">
        <v>781756.56</v>
      </c>
      <c r="P181" s="2"/>
      <c r="Q181" s="47">
        <v>145614.65000000034</v>
      </c>
      <c r="R181" s="48">
        <v>156351.56000000038</v>
      </c>
      <c r="S181" s="48">
        <v>234526.72000000035</v>
      </c>
      <c r="T181" s="49"/>
    </row>
    <row r="182" spans="1:20" s="50" customFormat="1" x14ac:dyDescent="0.2">
      <c r="A182" s="50">
        <v>425</v>
      </c>
      <c r="B182" s="50" t="s">
        <v>197</v>
      </c>
      <c r="C182" s="50" t="b">
        <f t="shared" si="2"/>
        <v>0</v>
      </c>
      <c r="D182" s="43"/>
      <c r="E182" s="44">
        <v>427</v>
      </c>
      <c r="F182" s="45" t="s">
        <v>198</v>
      </c>
      <c r="G182" s="46">
        <v>75</v>
      </c>
      <c r="H182" s="39">
        <v>319923</v>
      </c>
      <c r="I182" s="39">
        <v>12</v>
      </c>
      <c r="J182" s="39">
        <v>28715.040000000001</v>
      </c>
      <c r="K182" s="39">
        <v>12</v>
      </c>
      <c r="L182" s="39">
        <v>26218.080000000002</v>
      </c>
      <c r="M182" s="39">
        <v>0</v>
      </c>
      <c r="N182" s="39">
        <v>0</v>
      </c>
      <c r="O182" s="39">
        <v>374856.12</v>
      </c>
      <c r="P182" s="2"/>
      <c r="Q182" s="47">
        <v>67875.829999999929</v>
      </c>
      <c r="R182" s="48">
        <v>73681.249999999971</v>
      </c>
      <c r="S182" s="48">
        <v>112456.71000000011</v>
      </c>
      <c r="T182" s="49"/>
    </row>
    <row r="183" spans="1:20" s="50" customFormat="1" x14ac:dyDescent="0.2">
      <c r="A183" s="50">
        <v>427</v>
      </c>
      <c r="B183" s="50" t="s">
        <v>198</v>
      </c>
      <c r="C183" s="50" t="b">
        <f t="shared" si="2"/>
        <v>0</v>
      </c>
      <c r="D183" s="43"/>
      <c r="E183" s="44">
        <v>429</v>
      </c>
      <c r="F183" s="45" t="s">
        <v>199</v>
      </c>
      <c r="G183" s="46">
        <v>24</v>
      </c>
      <c r="H183" s="39">
        <v>102375.36</v>
      </c>
      <c r="I183" s="39">
        <v>6</v>
      </c>
      <c r="J183" s="39">
        <v>14357.52</v>
      </c>
      <c r="K183" s="39">
        <v>3</v>
      </c>
      <c r="L183" s="39">
        <v>6554.52</v>
      </c>
      <c r="M183" s="39">
        <v>0</v>
      </c>
      <c r="N183" s="39">
        <v>0</v>
      </c>
      <c r="O183" s="39">
        <v>123287.40000000001</v>
      </c>
      <c r="P183" s="2"/>
      <c r="Q183" s="47">
        <v>24615.900000000005</v>
      </c>
      <c r="R183" s="48">
        <v>24657.510000000006</v>
      </c>
      <c r="S183" s="48">
        <v>36986.189999999995</v>
      </c>
      <c r="T183" s="49"/>
    </row>
    <row r="184" spans="1:20" s="50" customFormat="1" x14ac:dyDescent="0.2">
      <c r="A184" s="50">
        <v>429</v>
      </c>
      <c r="B184" s="50" t="s">
        <v>199</v>
      </c>
      <c r="C184" s="50" t="b">
        <f t="shared" si="2"/>
        <v>0</v>
      </c>
      <c r="D184" s="43"/>
      <c r="E184" s="44">
        <v>431</v>
      </c>
      <c r="F184" s="45" t="s">
        <v>200</v>
      </c>
      <c r="G184" s="46">
        <v>89</v>
      </c>
      <c r="H184" s="39">
        <v>379641.96</v>
      </c>
      <c r="I184" s="39">
        <v>13</v>
      </c>
      <c r="J184" s="39">
        <v>31107.96</v>
      </c>
      <c r="K184" s="39">
        <v>3</v>
      </c>
      <c r="L184" s="39">
        <v>6554.52</v>
      </c>
      <c r="M184" s="39">
        <v>0</v>
      </c>
      <c r="N184" s="39">
        <v>0</v>
      </c>
      <c r="O184" s="39">
        <v>417304.44000000006</v>
      </c>
      <c r="P184" s="2"/>
      <c r="Q184" s="47">
        <v>78550.34</v>
      </c>
      <c r="R184" s="48">
        <v>79944.469999999987</v>
      </c>
      <c r="S184" s="48">
        <v>125191.20000000016</v>
      </c>
      <c r="T184" s="49"/>
    </row>
    <row r="185" spans="1:20" s="50" customFormat="1" x14ac:dyDescent="0.2">
      <c r="A185" s="50">
        <v>431</v>
      </c>
      <c r="B185" s="50" t="s">
        <v>200</v>
      </c>
      <c r="C185" s="50" t="b">
        <f t="shared" si="2"/>
        <v>0</v>
      </c>
      <c r="D185" s="43"/>
      <c r="E185" s="44">
        <v>435</v>
      </c>
      <c r="F185" s="45" t="s">
        <v>201</v>
      </c>
      <c r="G185" s="46">
        <v>13</v>
      </c>
      <c r="H185" s="39">
        <v>55453.32</v>
      </c>
      <c r="I185" s="39">
        <v>3</v>
      </c>
      <c r="J185" s="39">
        <v>7178.76</v>
      </c>
      <c r="K185" s="39">
        <v>0</v>
      </c>
      <c r="L185" s="39">
        <v>0</v>
      </c>
      <c r="M185" s="39">
        <v>0</v>
      </c>
      <c r="N185" s="39">
        <v>0</v>
      </c>
      <c r="O185" s="39">
        <v>62632.08</v>
      </c>
      <c r="P185" s="2"/>
      <c r="Q185" s="47">
        <v>10341.589999999998</v>
      </c>
      <c r="R185" s="48">
        <v>9863.01</v>
      </c>
      <c r="S185" s="48">
        <v>18789.610000000004</v>
      </c>
      <c r="T185" s="49"/>
    </row>
    <row r="186" spans="1:20" s="50" customFormat="1" x14ac:dyDescent="0.2">
      <c r="A186" s="50">
        <v>435</v>
      </c>
      <c r="B186" s="50" t="s">
        <v>201</v>
      </c>
      <c r="C186" s="50" t="b">
        <f t="shared" si="2"/>
        <v>0</v>
      </c>
      <c r="D186" s="43"/>
      <c r="E186" s="44">
        <v>436</v>
      </c>
      <c r="F186" s="45" t="s">
        <v>202</v>
      </c>
      <c r="G186" s="46">
        <v>0</v>
      </c>
      <c r="H186" s="39">
        <v>0</v>
      </c>
      <c r="I186" s="39">
        <v>0</v>
      </c>
      <c r="J186" s="39">
        <v>0</v>
      </c>
      <c r="K186" s="39">
        <v>0</v>
      </c>
      <c r="L186" s="39">
        <v>0</v>
      </c>
      <c r="M186" s="39">
        <v>0</v>
      </c>
      <c r="N186" s="39">
        <v>0</v>
      </c>
      <c r="O186" s="39">
        <v>0</v>
      </c>
      <c r="P186" s="2"/>
      <c r="Q186" s="47">
        <v>0</v>
      </c>
      <c r="R186" s="48">
        <v>0</v>
      </c>
      <c r="S186" s="48">
        <v>0</v>
      </c>
      <c r="T186" s="49"/>
    </row>
    <row r="187" spans="1:20" s="50" customFormat="1" x14ac:dyDescent="0.2">
      <c r="A187" s="50">
        <v>436</v>
      </c>
      <c r="B187" s="50" t="s">
        <v>202</v>
      </c>
      <c r="C187" s="50" t="b">
        <f t="shared" si="2"/>
        <v>0</v>
      </c>
      <c r="D187" s="43"/>
      <c r="E187" s="44">
        <v>437</v>
      </c>
      <c r="F187" s="45" t="s">
        <v>203</v>
      </c>
      <c r="G187" s="46">
        <v>0</v>
      </c>
      <c r="H187" s="39">
        <v>0</v>
      </c>
      <c r="I187" s="39">
        <v>0</v>
      </c>
      <c r="J187" s="39">
        <v>0</v>
      </c>
      <c r="K187" s="39">
        <v>0</v>
      </c>
      <c r="L187" s="39">
        <v>0</v>
      </c>
      <c r="M187" s="39">
        <v>0</v>
      </c>
      <c r="N187" s="39">
        <v>0</v>
      </c>
      <c r="O187" s="39">
        <v>0</v>
      </c>
      <c r="P187" s="2"/>
      <c r="Q187" s="47">
        <v>0</v>
      </c>
      <c r="R187" s="48">
        <v>0</v>
      </c>
      <c r="S187" s="48">
        <v>0</v>
      </c>
      <c r="T187" s="49"/>
    </row>
    <row r="188" spans="1:20" s="50" customFormat="1" x14ac:dyDescent="0.2">
      <c r="A188" s="50">
        <v>437</v>
      </c>
      <c r="B188" s="50" t="s">
        <v>203</v>
      </c>
      <c r="C188" s="50" t="b">
        <f t="shared" si="2"/>
        <v>0</v>
      </c>
      <c r="D188" s="43"/>
      <c r="E188" s="44">
        <v>439</v>
      </c>
      <c r="F188" s="45" t="s">
        <v>204</v>
      </c>
      <c r="G188" s="46">
        <v>41</v>
      </c>
      <c r="H188" s="39">
        <v>174891.24</v>
      </c>
      <c r="I188" s="39">
        <v>8</v>
      </c>
      <c r="J188" s="39">
        <v>19143.36</v>
      </c>
      <c r="K188" s="39">
        <v>1</v>
      </c>
      <c r="L188" s="39">
        <v>2184.84</v>
      </c>
      <c r="M188" s="39">
        <v>0</v>
      </c>
      <c r="N188" s="39">
        <v>0</v>
      </c>
      <c r="O188" s="39">
        <v>196219.43999999997</v>
      </c>
      <c r="P188" s="2"/>
      <c r="Q188" s="47">
        <v>34811.840000000004</v>
      </c>
      <c r="R188" s="48">
        <v>38765.359999999993</v>
      </c>
      <c r="S188" s="48">
        <v>58865.780000000028</v>
      </c>
      <c r="T188" s="49"/>
    </row>
    <row r="189" spans="1:20" s="50" customFormat="1" x14ac:dyDescent="0.2">
      <c r="A189" s="50">
        <v>439</v>
      </c>
      <c r="B189" s="50" t="s">
        <v>204</v>
      </c>
      <c r="C189" s="50" t="b">
        <f t="shared" si="2"/>
        <v>0</v>
      </c>
      <c r="D189" s="43"/>
      <c r="E189" s="44">
        <v>441</v>
      </c>
      <c r="F189" s="45" t="s">
        <v>205</v>
      </c>
      <c r="G189" s="46">
        <v>17</v>
      </c>
      <c r="H189" s="39">
        <v>72515.88</v>
      </c>
      <c r="I189" s="39">
        <v>0</v>
      </c>
      <c r="J189" s="39">
        <v>0</v>
      </c>
      <c r="K189" s="39">
        <v>1</v>
      </c>
      <c r="L189" s="39">
        <v>2184.84</v>
      </c>
      <c r="M189" s="39">
        <v>0</v>
      </c>
      <c r="N189" s="39">
        <v>0</v>
      </c>
      <c r="O189" s="39">
        <v>74700.72</v>
      </c>
      <c r="P189" s="2"/>
      <c r="Q189" s="47">
        <v>11569.269999999997</v>
      </c>
      <c r="R189" s="48">
        <v>14087.049999999996</v>
      </c>
      <c r="S189" s="48">
        <v>22410.18</v>
      </c>
      <c r="T189" s="49"/>
    </row>
    <row r="190" spans="1:20" s="50" customFormat="1" x14ac:dyDescent="0.2">
      <c r="A190" s="50">
        <v>441</v>
      </c>
      <c r="B190" s="50" t="s">
        <v>205</v>
      </c>
      <c r="C190" s="50" t="b">
        <f t="shared" si="2"/>
        <v>0</v>
      </c>
      <c r="D190" s="43"/>
      <c r="E190" s="44">
        <v>443</v>
      </c>
      <c r="F190" s="45" t="s">
        <v>206</v>
      </c>
      <c r="G190" s="46">
        <v>19</v>
      </c>
      <c r="H190" s="39">
        <v>81047.16</v>
      </c>
      <c r="I190" s="39">
        <v>2</v>
      </c>
      <c r="J190" s="39">
        <v>4785.84</v>
      </c>
      <c r="K190" s="39">
        <v>1</v>
      </c>
      <c r="L190" s="39">
        <v>2184.84</v>
      </c>
      <c r="M190" s="39">
        <v>0</v>
      </c>
      <c r="N190" s="39">
        <v>0</v>
      </c>
      <c r="O190" s="39">
        <v>88017.84</v>
      </c>
      <c r="P190" s="2"/>
      <c r="Q190" s="47">
        <v>18456.73</v>
      </c>
      <c r="R190" s="48">
        <v>18456.73</v>
      </c>
      <c r="S190" s="48">
        <v>26405.319999999992</v>
      </c>
      <c r="T190" s="49"/>
    </row>
    <row r="191" spans="1:20" s="50" customFormat="1" x14ac:dyDescent="0.2">
      <c r="A191" s="50">
        <v>443</v>
      </c>
      <c r="B191" s="50" t="s">
        <v>206</v>
      </c>
      <c r="C191" s="50" t="b">
        <f t="shared" si="2"/>
        <v>0</v>
      </c>
      <c r="D191" s="43"/>
      <c r="E191" s="44">
        <v>447</v>
      </c>
      <c r="F191" s="45" t="s">
        <v>207</v>
      </c>
      <c r="G191" s="46">
        <v>16</v>
      </c>
      <c r="H191" s="39">
        <v>68250.240000000005</v>
      </c>
      <c r="I191" s="39">
        <v>5</v>
      </c>
      <c r="J191" s="39">
        <v>11964.6</v>
      </c>
      <c r="K191" s="39">
        <v>2</v>
      </c>
      <c r="L191" s="39">
        <v>4369.68</v>
      </c>
      <c r="M191" s="39">
        <v>0</v>
      </c>
      <c r="N191" s="39">
        <v>0</v>
      </c>
      <c r="O191" s="39">
        <v>84584.520000000019</v>
      </c>
      <c r="P191" s="2"/>
      <c r="Q191" s="47">
        <v>17062.559999999998</v>
      </c>
      <c r="R191" s="48">
        <v>14357.529999999999</v>
      </c>
      <c r="S191" s="48">
        <v>25375.339999999997</v>
      </c>
      <c r="T191" s="49"/>
    </row>
    <row r="192" spans="1:20" s="50" customFormat="1" x14ac:dyDescent="0.2">
      <c r="A192" s="50">
        <v>447</v>
      </c>
      <c r="B192" s="50" t="s">
        <v>207</v>
      </c>
      <c r="C192" s="50" t="b">
        <f t="shared" si="2"/>
        <v>0</v>
      </c>
      <c r="D192" s="43"/>
      <c r="E192" s="44">
        <v>449</v>
      </c>
      <c r="F192" s="45" t="s">
        <v>208</v>
      </c>
      <c r="G192" s="46">
        <v>90</v>
      </c>
      <c r="H192" s="39">
        <v>383907.6</v>
      </c>
      <c r="I192" s="39">
        <v>11</v>
      </c>
      <c r="J192" s="39">
        <v>26322.12</v>
      </c>
      <c r="K192" s="39">
        <v>18</v>
      </c>
      <c r="L192" s="39">
        <v>39327.120000000003</v>
      </c>
      <c r="M192" s="39">
        <v>0</v>
      </c>
      <c r="N192" s="39">
        <v>0</v>
      </c>
      <c r="O192" s="39">
        <v>449556.83999999997</v>
      </c>
      <c r="P192" s="2"/>
      <c r="Q192" s="47">
        <v>72578.439999999959</v>
      </c>
      <c r="R192" s="48">
        <v>76011.769999999975</v>
      </c>
      <c r="S192" s="48">
        <v>134866.88000000012</v>
      </c>
      <c r="T192" s="49"/>
    </row>
    <row r="193" spans="1:20" s="50" customFormat="1" x14ac:dyDescent="0.2">
      <c r="A193" s="50">
        <v>449</v>
      </c>
      <c r="B193" s="50" t="s">
        <v>208</v>
      </c>
      <c r="C193" s="50" t="b">
        <f t="shared" si="2"/>
        <v>0</v>
      </c>
      <c r="D193" s="43"/>
      <c r="E193" s="44">
        <v>451</v>
      </c>
      <c r="F193" s="45" t="s">
        <v>209</v>
      </c>
      <c r="G193" s="46">
        <v>10</v>
      </c>
      <c r="H193" s="39">
        <v>42656.4</v>
      </c>
      <c r="I193" s="39">
        <v>2</v>
      </c>
      <c r="J193" s="39">
        <v>4785.84</v>
      </c>
      <c r="K193" s="39">
        <v>0</v>
      </c>
      <c r="L193" s="39">
        <v>0</v>
      </c>
      <c r="M193" s="39">
        <v>0</v>
      </c>
      <c r="N193" s="39">
        <v>0</v>
      </c>
      <c r="O193" s="39">
        <v>47442.240000000005</v>
      </c>
      <c r="P193" s="2"/>
      <c r="Q193" s="47">
        <v>9488.4599999999991</v>
      </c>
      <c r="R193" s="48">
        <v>9488.4599999999991</v>
      </c>
      <c r="S193" s="48">
        <v>14232.660000000003</v>
      </c>
      <c r="T193" s="49"/>
    </row>
    <row r="194" spans="1:20" s="50" customFormat="1" x14ac:dyDescent="0.2">
      <c r="A194" s="50">
        <v>451</v>
      </c>
      <c r="B194" s="50" t="s">
        <v>209</v>
      </c>
      <c r="C194" s="50" t="b">
        <f t="shared" si="2"/>
        <v>0</v>
      </c>
      <c r="D194" s="43"/>
      <c r="E194" s="44">
        <v>453</v>
      </c>
      <c r="F194" s="45" t="s">
        <v>210</v>
      </c>
      <c r="G194" s="46">
        <v>72</v>
      </c>
      <c r="H194" s="39">
        <v>307126.08</v>
      </c>
      <c r="I194" s="39">
        <v>7</v>
      </c>
      <c r="J194" s="39">
        <v>16750.439999999999</v>
      </c>
      <c r="K194" s="39">
        <v>5</v>
      </c>
      <c r="L194" s="39">
        <v>10924.2</v>
      </c>
      <c r="M194" s="39">
        <v>0</v>
      </c>
      <c r="N194" s="39">
        <v>0</v>
      </c>
      <c r="O194" s="39">
        <v>334800.72000000003</v>
      </c>
      <c r="P194" s="2"/>
      <c r="Q194" s="47">
        <v>67293.209999999919</v>
      </c>
      <c r="R194" s="48">
        <v>66960.269999999931</v>
      </c>
      <c r="S194" s="48">
        <v>100440.09000000011</v>
      </c>
      <c r="T194" s="49"/>
    </row>
    <row r="195" spans="1:20" s="50" customFormat="1" x14ac:dyDescent="0.2">
      <c r="A195" s="50">
        <v>453</v>
      </c>
      <c r="B195" s="50" t="s">
        <v>210</v>
      </c>
      <c r="C195" s="50" t="b">
        <f t="shared" si="2"/>
        <v>0</v>
      </c>
      <c r="D195" s="43"/>
      <c r="E195" s="44">
        <v>455</v>
      </c>
      <c r="F195" s="45" t="s">
        <v>211</v>
      </c>
      <c r="G195" s="46">
        <v>39</v>
      </c>
      <c r="H195" s="39">
        <v>166359.96</v>
      </c>
      <c r="I195" s="39">
        <v>14</v>
      </c>
      <c r="J195" s="39">
        <v>33500.879999999997</v>
      </c>
      <c r="K195" s="39">
        <v>1</v>
      </c>
      <c r="L195" s="39">
        <v>2184.84</v>
      </c>
      <c r="M195" s="39">
        <v>0</v>
      </c>
      <c r="N195" s="39">
        <v>0</v>
      </c>
      <c r="O195" s="39">
        <v>202045.68</v>
      </c>
      <c r="P195" s="2"/>
      <c r="Q195" s="47">
        <v>27882.769999999997</v>
      </c>
      <c r="R195" s="48">
        <v>41262.289999999986</v>
      </c>
      <c r="S195" s="48">
        <v>60613.680000000015</v>
      </c>
      <c r="T195" s="49"/>
    </row>
    <row r="196" spans="1:20" s="50" customFormat="1" x14ac:dyDescent="0.2">
      <c r="A196" s="50">
        <v>455</v>
      </c>
      <c r="B196" s="50" t="s">
        <v>211</v>
      </c>
      <c r="C196" s="50" t="b">
        <f t="shared" si="2"/>
        <v>0</v>
      </c>
      <c r="D196" s="43"/>
      <c r="E196" s="44">
        <v>459</v>
      </c>
      <c r="F196" s="45" t="s">
        <v>212</v>
      </c>
      <c r="G196" s="46">
        <v>178</v>
      </c>
      <c r="H196" s="39">
        <v>759283.92</v>
      </c>
      <c r="I196" s="39">
        <v>28</v>
      </c>
      <c r="J196" s="39">
        <v>67001.759999999995</v>
      </c>
      <c r="K196" s="39">
        <v>5</v>
      </c>
      <c r="L196" s="39">
        <v>10924.2</v>
      </c>
      <c r="M196" s="39">
        <v>0</v>
      </c>
      <c r="N196" s="39">
        <v>0</v>
      </c>
      <c r="O196" s="39">
        <v>837209.88</v>
      </c>
      <c r="P196" s="2"/>
      <c r="Q196" s="47">
        <v>143242.54000000033</v>
      </c>
      <c r="R196" s="48">
        <v>160887.7100000004</v>
      </c>
      <c r="S196" s="48">
        <v>251162.71000000043</v>
      </c>
      <c r="T196" s="49"/>
    </row>
    <row r="197" spans="1:20" s="50" customFormat="1" x14ac:dyDescent="0.2">
      <c r="A197" s="50">
        <v>459</v>
      </c>
      <c r="B197" s="50" t="s">
        <v>212</v>
      </c>
      <c r="C197" s="50" t="b">
        <f t="shared" si="2"/>
        <v>0</v>
      </c>
      <c r="D197" s="43"/>
      <c r="E197" s="44">
        <v>461</v>
      </c>
      <c r="F197" s="45" t="s">
        <v>213</v>
      </c>
      <c r="G197" s="46">
        <v>253</v>
      </c>
      <c r="H197" s="39">
        <v>1079206.92</v>
      </c>
      <c r="I197" s="39">
        <v>62</v>
      </c>
      <c r="J197" s="39">
        <v>148361.04</v>
      </c>
      <c r="K197" s="39">
        <v>29</v>
      </c>
      <c r="L197" s="39">
        <v>63360.36</v>
      </c>
      <c r="M197" s="39">
        <v>0</v>
      </c>
      <c r="N197" s="39">
        <v>0</v>
      </c>
      <c r="O197" s="39">
        <v>1290928.32</v>
      </c>
      <c r="P197" s="2"/>
      <c r="Q197" s="47">
        <v>241310.7100000006</v>
      </c>
      <c r="R197" s="48">
        <v>253816.30000000057</v>
      </c>
      <c r="S197" s="48">
        <v>387278.18000000075</v>
      </c>
      <c r="T197" s="49"/>
    </row>
    <row r="198" spans="1:20" s="50" customFormat="1" x14ac:dyDescent="0.2">
      <c r="A198" s="50">
        <v>461</v>
      </c>
      <c r="B198" s="50" t="s">
        <v>213</v>
      </c>
      <c r="C198" s="50" t="b">
        <f t="shared" si="2"/>
        <v>0</v>
      </c>
      <c r="D198" s="43"/>
      <c r="E198" s="44">
        <v>463</v>
      </c>
      <c r="F198" s="45" t="s">
        <v>214</v>
      </c>
      <c r="G198" s="46">
        <v>29</v>
      </c>
      <c r="H198" s="39">
        <v>123703.56</v>
      </c>
      <c r="I198" s="39">
        <v>5</v>
      </c>
      <c r="J198" s="39">
        <v>11964.6</v>
      </c>
      <c r="K198" s="39">
        <v>3</v>
      </c>
      <c r="L198" s="39">
        <v>6554.52</v>
      </c>
      <c r="M198" s="39">
        <v>0</v>
      </c>
      <c r="N198" s="39">
        <v>0</v>
      </c>
      <c r="O198" s="39">
        <v>142222.68</v>
      </c>
      <c r="P198" s="2"/>
      <c r="Q198" s="47">
        <v>24491.060000000005</v>
      </c>
      <c r="R198" s="48">
        <v>28444.580000000013</v>
      </c>
      <c r="S198" s="48">
        <v>42666.760000000009</v>
      </c>
      <c r="T198" s="49"/>
    </row>
    <row r="199" spans="1:20" s="50" customFormat="1" x14ac:dyDescent="0.2">
      <c r="A199" s="50">
        <v>463</v>
      </c>
      <c r="B199" s="50" t="s">
        <v>214</v>
      </c>
      <c r="C199" s="50" t="b">
        <f t="shared" si="2"/>
        <v>0</v>
      </c>
      <c r="D199" s="43"/>
      <c r="E199" s="44">
        <v>465</v>
      </c>
      <c r="F199" s="45" t="s">
        <v>215</v>
      </c>
      <c r="G199" s="46">
        <v>2</v>
      </c>
      <c r="H199" s="39">
        <v>8531.2800000000007</v>
      </c>
      <c r="I199" s="39">
        <v>0</v>
      </c>
      <c r="J199" s="39">
        <v>0</v>
      </c>
      <c r="K199" s="39">
        <v>1</v>
      </c>
      <c r="L199" s="39">
        <v>2184.84</v>
      </c>
      <c r="M199" s="39">
        <v>0</v>
      </c>
      <c r="N199" s="39">
        <v>0</v>
      </c>
      <c r="O199" s="39">
        <v>10716.12</v>
      </c>
      <c r="P199" s="2"/>
      <c r="Q199" s="47">
        <v>2996.3599999999997</v>
      </c>
      <c r="R199" s="48">
        <v>2143.23</v>
      </c>
      <c r="S199" s="48">
        <v>3214.83</v>
      </c>
      <c r="T199" s="49"/>
    </row>
    <row r="200" spans="1:20" s="50" customFormat="1" x14ac:dyDescent="0.2">
      <c r="A200" s="50">
        <v>465</v>
      </c>
      <c r="B200" s="50" t="s">
        <v>215</v>
      </c>
      <c r="C200" s="50" t="b">
        <f t="shared" si="2"/>
        <v>0</v>
      </c>
      <c r="D200" s="43"/>
      <c r="E200" s="44">
        <v>467</v>
      </c>
      <c r="F200" s="45" t="s">
        <v>216</v>
      </c>
      <c r="G200" s="46">
        <v>18</v>
      </c>
      <c r="H200" s="39">
        <v>76781.52</v>
      </c>
      <c r="I200" s="39">
        <v>8</v>
      </c>
      <c r="J200" s="39">
        <v>19143.36</v>
      </c>
      <c r="K200" s="39">
        <v>0</v>
      </c>
      <c r="L200" s="39">
        <v>0</v>
      </c>
      <c r="M200" s="39">
        <v>0</v>
      </c>
      <c r="N200" s="39">
        <v>0</v>
      </c>
      <c r="O200" s="39">
        <v>95924.88</v>
      </c>
      <c r="P200" s="2"/>
      <c r="Q200" s="47">
        <v>12900.979999999996</v>
      </c>
      <c r="R200" s="48">
        <v>19184.98</v>
      </c>
      <c r="S200" s="48">
        <v>28777.459999999992</v>
      </c>
      <c r="T200" s="49"/>
    </row>
    <row r="201" spans="1:20" s="50" customFormat="1" x14ac:dyDescent="0.2">
      <c r="A201" s="50">
        <v>467</v>
      </c>
      <c r="B201" s="50" t="s">
        <v>216</v>
      </c>
      <c r="C201" s="50" t="b">
        <f t="shared" si="2"/>
        <v>0</v>
      </c>
      <c r="D201" s="43"/>
      <c r="E201" s="44">
        <v>471</v>
      </c>
      <c r="F201" s="45" t="s">
        <v>217</v>
      </c>
      <c r="G201" s="46">
        <v>24</v>
      </c>
      <c r="H201" s="39">
        <v>102375.36</v>
      </c>
      <c r="I201" s="39">
        <v>0</v>
      </c>
      <c r="J201" s="39">
        <v>0</v>
      </c>
      <c r="K201" s="39">
        <v>4</v>
      </c>
      <c r="L201" s="39">
        <v>8739.36</v>
      </c>
      <c r="M201" s="39">
        <v>0</v>
      </c>
      <c r="N201" s="39">
        <v>0</v>
      </c>
      <c r="O201" s="39">
        <v>111114.72</v>
      </c>
      <c r="P201" s="2"/>
      <c r="Q201" s="47">
        <v>17499.569999999996</v>
      </c>
      <c r="R201" s="48">
        <v>20079.769999999997</v>
      </c>
      <c r="S201" s="48">
        <v>33334.359999999993</v>
      </c>
      <c r="T201" s="49"/>
    </row>
    <row r="202" spans="1:20" s="50" customFormat="1" x14ac:dyDescent="0.2">
      <c r="A202" s="50">
        <v>471</v>
      </c>
      <c r="B202" s="50" t="s">
        <v>217</v>
      </c>
      <c r="C202" s="50" t="b">
        <f t="shared" ref="C202:C252" si="3">B202=F202</f>
        <v>0</v>
      </c>
      <c r="D202" s="43"/>
      <c r="E202" s="44">
        <v>473</v>
      </c>
      <c r="F202" s="45" t="s">
        <v>218</v>
      </c>
      <c r="G202" s="46">
        <v>73</v>
      </c>
      <c r="H202" s="39">
        <v>311391.71999999997</v>
      </c>
      <c r="I202" s="39">
        <v>10</v>
      </c>
      <c r="J202" s="39">
        <v>23929.200000000001</v>
      </c>
      <c r="K202" s="39">
        <v>4</v>
      </c>
      <c r="L202" s="39">
        <v>8739.36</v>
      </c>
      <c r="M202" s="39">
        <v>0</v>
      </c>
      <c r="N202" s="39">
        <v>0</v>
      </c>
      <c r="O202" s="39">
        <v>344060.27999999997</v>
      </c>
      <c r="P202" s="2"/>
      <c r="Q202" s="47">
        <v>59344.509999999929</v>
      </c>
      <c r="R202" s="48">
        <v>69290.749999999942</v>
      </c>
      <c r="S202" s="48">
        <v>103217.9700000001</v>
      </c>
      <c r="T202" s="49"/>
    </row>
    <row r="203" spans="1:20" s="50" customFormat="1" x14ac:dyDescent="0.2">
      <c r="A203" s="50">
        <v>473</v>
      </c>
      <c r="B203" s="50" t="s">
        <v>218</v>
      </c>
      <c r="C203" s="50" t="b">
        <f t="shared" si="3"/>
        <v>0</v>
      </c>
      <c r="D203" s="43"/>
      <c r="E203" s="44">
        <v>475</v>
      </c>
      <c r="F203" s="45" t="s">
        <v>219</v>
      </c>
      <c r="G203" s="46">
        <v>24</v>
      </c>
      <c r="H203" s="39">
        <v>102375.36</v>
      </c>
      <c r="I203" s="39">
        <v>0</v>
      </c>
      <c r="J203" s="39">
        <v>0</v>
      </c>
      <c r="K203" s="39">
        <v>3</v>
      </c>
      <c r="L203" s="39">
        <v>6554.52</v>
      </c>
      <c r="M203" s="39">
        <v>0</v>
      </c>
      <c r="N203" s="39">
        <v>0</v>
      </c>
      <c r="O203" s="39">
        <v>108929.88</v>
      </c>
      <c r="P203" s="2"/>
      <c r="Q203" s="47">
        <v>23513.100000000006</v>
      </c>
      <c r="R203" s="48">
        <v>21786.030000000002</v>
      </c>
      <c r="S203" s="48">
        <v>32678.909999999993</v>
      </c>
      <c r="T203" s="49"/>
    </row>
    <row r="204" spans="1:20" s="50" customFormat="1" x14ac:dyDescent="0.2">
      <c r="A204" s="50">
        <v>475</v>
      </c>
      <c r="B204" s="50" t="s">
        <v>219</v>
      </c>
      <c r="C204" s="50" t="b">
        <f t="shared" si="3"/>
        <v>0</v>
      </c>
      <c r="D204" s="43"/>
      <c r="E204" s="44">
        <v>477</v>
      </c>
      <c r="F204" s="45" t="s">
        <v>220</v>
      </c>
      <c r="G204" s="46">
        <v>45</v>
      </c>
      <c r="H204" s="39">
        <v>191953.8</v>
      </c>
      <c r="I204" s="39">
        <v>6</v>
      </c>
      <c r="J204" s="39">
        <v>14357.52</v>
      </c>
      <c r="K204" s="39">
        <v>2</v>
      </c>
      <c r="L204" s="39">
        <v>4369.68</v>
      </c>
      <c r="M204" s="39">
        <v>0</v>
      </c>
      <c r="N204" s="39">
        <v>0</v>
      </c>
      <c r="O204" s="39">
        <v>210680.99999999997</v>
      </c>
      <c r="P204" s="2"/>
      <c r="Q204" s="47">
        <v>32855.910000000011</v>
      </c>
      <c r="R204" s="48">
        <v>38286.779999999992</v>
      </c>
      <c r="S204" s="48">
        <v>63204.230000000025</v>
      </c>
      <c r="T204" s="49"/>
    </row>
    <row r="205" spans="1:20" s="50" customFormat="1" x14ac:dyDescent="0.2">
      <c r="A205" s="50">
        <v>477</v>
      </c>
      <c r="B205" s="50" t="s">
        <v>220</v>
      </c>
      <c r="C205" s="50" t="b">
        <f t="shared" si="3"/>
        <v>0</v>
      </c>
      <c r="D205" s="43"/>
      <c r="E205" s="44">
        <v>479</v>
      </c>
      <c r="F205" s="45" t="s">
        <v>221</v>
      </c>
      <c r="G205" s="46">
        <v>36</v>
      </c>
      <c r="H205" s="39">
        <v>153563.04</v>
      </c>
      <c r="I205" s="39">
        <v>6</v>
      </c>
      <c r="J205" s="39">
        <v>14357.52</v>
      </c>
      <c r="K205" s="39">
        <v>5</v>
      </c>
      <c r="L205" s="39">
        <v>10924.2</v>
      </c>
      <c r="M205" s="39">
        <v>0</v>
      </c>
      <c r="N205" s="39">
        <v>0</v>
      </c>
      <c r="O205" s="39">
        <v>178844.76</v>
      </c>
      <c r="P205" s="2"/>
      <c r="Q205" s="47">
        <v>34915.879999999997</v>
      </c>
      <c r="R205" s="48">
        <v>34915.879999999997</v>
      </c>
      <c r="S205" s="48">
        <v>53653.370000000024</v>
      </c>
      <c r="T205" s="49"/>
    </row>
    <row r="206" spans="1:20" s="50" customFormat="1" x14ac:dyDescent="0.2">
      <c r="A206" s="50">
        <v>479</v>
      </c>
      <c r="B206" s="50" t="s">
        <v>221</v>
      </c>
      <c r="C206" s="50" t="b">
        <f t="shared" si="3"/>
        <v>0</v>
      </c>
      <c r="D206" s="43"/>
      <c r="E206" s="44">
        <v>483</v>
      </c>
      <c r="F206" s="45" t="s">
        <v>222</v>
      </c>
      <c r="G206" s="46">
        <v>13</v>
      </c>
      <c r="H206" s="39">
        <v>55453.32</v>
      </c>
      <c r="I206" s="39">
        <v>4</v>
      </c>
      <c r="J206" s="39">
        <v>9571.68</v>
      </c>
      <c r="K206" s="39">
        <v>0</v>
      </c>
      <c r="L206" s="39">
        <v>0</v>
      </c>
      <c r="M206" s="39">
        <v>0</v>
      </c>
      <c r="N206" s="39">
        <v>0</v>
      </c>
      <c r="O206" s="39">
        <v>65025</v>
      </c>
      <c r="P206" s="2"/>
      <c r="Q206" s="47">
        <v>11090.689999999997</v>
      </c>
      <c r="R206" s="48">
        <v>13005.009999999997</v>
      </c>
      <c r="S206" s="48">
        <v>19507.489999999998</v>
      </c>
      <c r="T206" s="49"/>
    </row>
    <row r="207" spans="1:20" s="50" customFormat="1" x14ac:dyDescent="0.2">
      <c r="A207" s="50">
        <v>483</v>
      </c>
      <c r="B207" s="50" t="s">
        <v>222</v>
      </c>
      <c r="C207" s="50" t="b">
        <f t="shared" si="3"/>
        <v>0</v>
      </c>
      <c r="D207" s="43"/>
      <c r="E207" s="44">
        <v>485</v>
      </c>
      <c r="F207" s="45" t="s">
        <v>223</v>
      </c>
      <c r="G207" s="46">
        <v>38</v>
      </c>
      <c r="H207" s="39">
        <v>162094.32</v>
      </c>
      <c r="I207" s="39">
        <v>6</v>
      </c>
      <c r="J207" s="39">
        <v>14357.52</v>
      </c>
      <c r="K207" s="39">
        <v>2</v>
      </c>
      <c r="L207" s="39">
        <v>4369.68</v>
      </c>
      <c r="M207" s="39">
        <v>0</v>
      </c>
      <c r="N207" s="39">
        <v>0</v>
      </c>
      <c r="O207" s="39">
        <v>180821.52</v>
      </c>
      <c r="P207" s="2"/>
      <c r="Q207" s="47">
        <v>41158.25999999998</v>
      </c>
      <c r="R207" s="48">
        <v>36205.970000000008</v>
      </c>
      <c r="S207" s="48">
        <v>54246.400000000016</v>
      </c>
      <c r="T207" s="49"/>
    </row>
    <row r="208" spans="1:20" s="50" customFormat="1" x14ac:dyDescent="0.2">
      <c r="A208" s="50">
        <v>485</v>
      </c>
      <c r="B208" s="50" t="s">
        <v>223</v>
      </c>
      <c r="C208" s="50" t="b">
        <f t="shared" si="3"/>
        <v>0</v>
      </c>
      <c r="D208" s="43"/>
      <c r="E208" s="44">
        <v>487</v>
      </c>
      <c r="F208" s="45" t="s">
        <v>224</v>
      </c>
      <c r="G208" s="46">
        <v>14</v>
      </c>
      <c r="H208" s="39">
        <v>59718.96</v>
      </c>
      <c r="I208" s="39">
        <v>4</v>
      </c>
      <c r="J208" s="39">
        <v>9571.68</v>
      </c>
      <c r="K208" s="39">
        <v>0</v>
      </c>
      <c r="L208" s="39">
        <v>0</v>
      </c>
      <c r="M208" s="39">
        <v>0</v>
      </c>
      <c r="N208" s="39">
        <v>0</v>
      </c>
      <c r="O208" s="39">
        <v>69290.64</v>
      </c>
      <c r="P208" s="2"/>
      <c r="Q208" s="47">
        <v>11090.689999999997</v>
      </c>
      <c r="R208" s="48">
        <v>14711.269999999997</v>
      </c>
      <c r="S208" s="48">
        <v>20787.18</v>
      </c>
      <c r="T208" s="49"/>
    </row>
    <row r="209" spans="1:20" s="50" customFormat="1" x14ac:dyDescent="0.2">
      <c r="A209" s="50">
        <v>487</v>
      </c>
      <c r="B209" s="50" t="s">
        <v>224</v>
      </c>
      <c r="C209" s="50" t="b">
        <f t="shared" si="3"/>
        <v>0</v>
      </c>
      <c r="D209" s="43"/>
      <c r="E209" s="44">
        <v>489</v>
      </c>
      <c r="F209" s="45" t="s">
        <v>225</v>
      </c>
      <c r="G209" s="46">
        <v>6</v>
      </c>
      <c r="H209" s="39">
        <v>25593.84</v>
      </c>
      <c r="I209" s="39">
        <v>3</v>
      </c>
      <c r="J209" s="39">
        <v>7178.76</v>
      </c>
      <c r="K209" s="39">
        <v>0</v>
      </c>
      <c r="L209" s="39">
        <v>0</v>
      </c>
      <c r="M209" s="39">
        <v>0</v>
      </c>
      <c r="N209" s="39">
        <v>0</v>
      </c>
      <c r="O209" s="39">
        <v>32772.6</v>
      </c>
      <c r="P209" s="2"/>
      <c r="Q209" s="47">
        <v>2559.39</v>
      </c>
      <c r="R209" s="48">
        <v>6554.5199999999995</v>
      </c>
      <c r="S209" s="48">
        <v>9831.7800000000007</v>
      </c>
      <c r="T209" s="49"/>
    </row>
    <row r="210" spans="1:20" s="50" customFormat="1" x14ac:dyDescent="0.2">
      <c r="A210" s="50">
        <v>489</v>
      </c>
      <c r="B210" s="50" t="s">
        <v>225</v>
      </c>
      <c r="C210" s="50" t="b">
        <f t="shared" si="3"/>
        <v>0</v>
      </c>
      <c r="D210" s="43"/>
      <c r="E210" s="44">
        <v>491</v>
      </c>
      <c r="F210" s="45" t="s">
        <v>226</v>
      </c>
      <c r="G210" s="46">
        <v>116</v>
      </c>
      <c r="H210" s="39">
        <v>494814.24</v>
      </c>
      <c r="I210" s="39">
        <v>20</v>
      </c>
      <c r="J210" s="39">
        <v>47858.400000000001</v>
      </c>
      <c r="K210" s="39">
        <v>10</v>
      </c>
      <c r="L210" s="39">
        <v>21848.400000000001</v>
      </c>
      <c r="M210" s="39">
        <v>0</v>
      </c>
      <c r="N210" s="39">
        <v>0</v>
      </c>
      <c r="O210" s="39">
        <v>564521.04</v>
      </c>
      <c r="P210" s="2"/>
      <c r="Q210" s="47">
        <v>110740.39000000017</v>
      </c>
      <c r="R210" s="48">
        <v>117669.42000000022</v>
      </c>
      <c r="S210" s="48">
        <v>169356.14000000025</v>
      </c>
      <c r="T210" s="49"/>
    </row>
    <row r="211" spans="1:20" s="50" customFormat="1" x14ac:dyDescent="0.2">
      <c r="A211" s="50">
        <v>491</v>
      </c>
      <c r="B211" s="50" t="s">
        <v>226</v>
      </c>
      <c r="C211" s="50" t="b">
        <f t="shared" si="3"/>
        <v>0</v>
      </c>
      <c r="D211" s="43"/>
      <c r="E211" s="44">
        <v>495</v>
      </c>
      <c r="F211" s="45" t="s">
        <v>227</v>
      </c>
      <c r="G211" s="46">
        <v>3</v>
      </c>
      <c r="H211" s="39">
        <v>12796.92</v>
      </c>
      <c r="I211" s="39">
        <v>0</v>
      </c>
      <c r="J211" s="39">
        <v>0</v>
      </c>
      <c r="K211" s="39">
        <v>0</v>
      </c>
      <c r="L211" s="39">
        <v>0</v>
      </c>
      <c r="M211" s="39">
        <v>0</v>
      </c>
      <c r="N211" s="39">
        <v>0</v>
      </c>
      <c r="O211" s="39">
        <v>12796.92</v>
      </c>
      <c r="P211" s="2"/>
      <c r="Q211" s="47">
        <v>853.13</v>
      </c>
      <c r="R211" s="48">
        <v>2559.39</v>
      </c>
      <c r="S211" s="48">
        <v>3839.07</v>
      </c>
      <c r="T211" s="49"/>
    </row>
    <row r="212" spans="1:20" s="50" customFormat="1" x14ac:dyDescent="0.2">
      <c r="A212" s="50">
        <v>495</v>
      </c>
      <c r="B212" s="50" t="s">
        <v>227</v>
      </c>
      <c r="C212" s="50" t="b">
        <f t="shared" si="3"/>
        <v>0</v>
      </c>
      <c r="D212" s="43"/>
      <c r="E212" s="44">
        <v>497</v>
      </c>
      <c r="F212" s="45" t="s">
        <v>228</v>
      </c>
      <c r="G212" s="46">
        <v>16</v>
      </c>
      <c r="H212" s="39">
        <v>68250.240000000005</v>
      </c>
      <c r="I212" s="39">
        <v>0</v>
      </c>
      <c r="J212" s="39">
        <v>0</v>
      </c>
      <c r="K212" s="39">
        <v>2</v>
      </c>
      <c r="L212" s="39">
        <v>4369.68</v>
      </c>
      <c r="M212" s="39">
        <v>0</v>
      </c>
      <c r="N212" s="39">
        <v>0</v>
      </c>
      <c r="O212" s="39">
        <v>72619.920000000013</v>
      </c>
      <c r="P212" s="2"/>
      <c r="Q212" s="47">
        <v>11964.629999999997</v>
      </c>
      <c r="R212" s="48">
        <v>14524.019999999995</v>
      </c>
      <c r="S212" s="48">
        <v>21785.94</v>
      </c>
      <c r="T212" s="49"/>
    </row>
    <row r="213" spans="1:20" s="50" customFormat="1" x14ac:dyDescent="0.2">
      <c r="A213" s="50">
        <v>497</v>
      </c>
      <c r="B213" s="50" t="s">
        <v>228</v>
      </c>
      <c r="C213" s="50" t="b">
        <f t="shared" si="3"/>
        <v>0</v>
      </c>
      <c r="D213" s="43"/>
      <c r="E213" s="44">
        <v>499</v>
      </c>
      <c r="F213" s="45" t="s">
        <v>229</v>
      </c>
      <c r="G213" s="46">
        <v>9</v>
      </c>
      <c r="H213" s="39">
        <v>38390.76</v>
      </c>
      <c r="I213" s="39">
        <v>6</v>
      </c>
      <c r="J213" s="39">
        <v>14357.52</v>
      </c>
      <c r="K213" s="39">
        <v>0</v>
      </c>
      <c r="L213" s="39">
        <v>0</v>
      </c>
      <c r="M213" s="39">
        <v>0</v>
      </c>
      <c r="N213" s="39">
        <v>0</v>
      </c>
      <c r="O213" s="39">
        <v>52748.28</v>
      </c>
      <c r="P213" s="2"/>
      <c r="Q213" s="47">
        <v>11881.359999999999</v>
      </c>
      <c r="R213" s="48">
        <v>10549.649999999998</v>
      </c>
      <c r="S213" s="48">
        <v>15824.490000000002</v>
      </c>
      <c r="T213" s="49"/>
    </row>
    <row r="214" spans="1:20" s="50" customFormat="1" x14ac:dyDescent="0.2">
      <c r="A214" s="50">
        <v>499</v>
      </c>
      <c r="B214" s="50" t="s">
        <v>229</v>
      </c>
      <c r="C214" s="50" t="b">
        <f t="shared" si="3"/>
        <v>0</v>
      </c>
      <c r="D214" s="43"/>
      <c r="E214" s="44">
        <v>501</v>
      </c>
      <c r="F214" s="45" t="s">
        <v>230</v>
      </c>
      <c r="G214" s="46">
        <v>7</v>
      </c>
      <c r="H214" s="39">
        <v>29859.48</v>
      </c>
      <c r="I214" s="39">
        <v>3</v>
      </c>
      <c r="J214" s="39">
        <v>7178.76</v>
      </c>
      <c r="K214" s="39">
        <v>0</v>
      </c>
      <c r="L214" s="39">
        <v>0</v>
      </c>
      <c r="M214" s="39">
        <v>0</v>
      </c>
      <c r="N214" s="39">
        <v>0</v>
      </c>
      <c r="O214" s="39">
        <v>37038.239999999998</v>
      </c>
      <c r="P214" s="2"/>
      <c r="Q214" s="47">
        <v>7407.6500000000005</v>
      </c>
      <c r="R214" s="48">
        <v>7407.6500000000005</v>
      </c>
      <c r="S214" s="48">
        <v>11111.470000000001</v>
      </c>
      <c r="T214" s="49"/>
    </row>
    <row r="215" spans="1:20" s="50" customFormat="1" x14ac:dyDescent="0.2">
      <c r="A215" s="50">
        <v>501</v>
      </c>
      <c r="B215" s="50" t="s">
        <v>230</v>
      </c>
      <c r="C215" s="50" t="b">
        <f t="shared" si="3"/>
        <v>0</v>
      </c>
      <c r="D215" s="43"/>
      <c r="E215" s="44">
        <v>503</v>
      </c>
      <c r="F215" s="45" t="s">
        <v>231</v>
      </c>
      <c r="G215" s="46">
        <v>20</v>
      </c>
      <c r="H215" s="39">
        <v>85312.8</v>
      </c>
      <c r="I215" s="39">
        <v>8</v>
      </c>
      <c r="J215" s="39">
        <v>19143.36</v>
      </c>
      <c r="K215" s="39">
        <v>1</v>
      </c>
      <c r="L215" s="39">
        <v>2184.84</v>
      </c>
      <c r="M215" s="39">
        <v>0</v>
      </c>
      <c r="N215" s="39">
        <v>0</v>
      </c>
      <c r="O215" s="39">
        <v>106641</v>
      </c>
      <c r="P215" s="2"/>
      <c r="Q215" s="47">
        <v>17707.629999999997</v>
      </c>
      <c r="R215" s="48">
        <v>21328.209999999995</v>
      </c>
      <c r="S215" s="48">
        <v>31992.289999999994</v>
      </c>
      <c r="T215" s="49"/>
    </row>
    <row r="216" spans="1:20" s="50" customFormat="1" ht="12.2" customHeight="1" x14ac:dyDescent="0.2">
      <c r="A216" s="50">
        <v>503</v>
      </c>
      <c r="B216" s="50" t="s">
        <v>231</v>
      </c>
      <c r="C216" s="50" t="b">
        <f t="shared" si="3"/>
        <v>0</v>
      </c>
      <c r="D216" s="43"/>
      <c r="E216" s="44">
        <v>507</v>
      </c>
      <c r="F216" s="45" t="s">
        <v>232</v>
      </c>
      <c r="G216" s="46">
        <v>57</v>
      </c>
      <c r="H216" s="39">
        <v>243141.48</v>
      </c>
      <c r="I216" s="39">
        <v>15</v>
      </c>
      <c r="J216" s="39">
        <v>35893.800000000003</v>
      </c>
      <c r="K216" s="39">
        <v>4</v>
      </c>
      <c r="L216" s="39">
        <v>8739.36</v>
      </c>
      <c r="M216" s="39">
        <v>0</v>
      </c>
      <c r="N216" s="39">
        <v>0</v>
      </c>
      <c r="O216" s="39">
        <v>287774.64</v>
      </c>
      <c r="P216" s="2"/>
      <c r="Q216" s="47">
        <v>57554.989999999954</v>
      </c>
      <c r="R216" s="48">
        <v>57554.989999999954</v>
      </c>
      <c r="S216" s="48">
        <v>86332.33000000006</v>
      </c>
      <c r="T216" s="49"/>
    </row>
    <row r="217" spans="1:20" s="50" customFormat="1" x14ac:dyDescent="0.2">
      <c r="A217" s="50">
        <v>507</v>
      </c>
      <c r="B217" s="50" t="s">
        <v>232</v>
      </c>
      <c r="C217" s="50" t="b">
        <f t="shared" si="3"/>
        <v>0</v>
      </c>
      <c r="D217" s="43"/>
      <c r="E217" s="44">
        <v>509</v>
      </c>
      <c r="F217" s="45" t="s">
        <v>233</v>
      </c>
      <c r="G217" s="46">
        <v>1</v>
      </c>
      <c r="H217" s="39">
        <v>4265.6400000000003</v>
      </c>
      <c r="I217" s="39">
        <v>1</v>
      </c>
      <c r="J217" s="39">
        <v>2392.92</v>
      </c>
      <c r="K217" s="39">
        <v>0</v>
      </c>
      <c r="L217" s="39">
        <v>0</v>
      </c>
      <c r="M217" s="39">
        <v>0</v>
      </c>
      <c r="N217" s="39">
        <v>0</v>
      </c>
      <c r="O217" s="39">
        <v>6658.56</v>
      </c>
      <c r="P217" s="2"/>
      <c r="Q217" s="47">
        <v>1331.71</v>
      </c>
      <c r="R217" s="48">
        <v>1331.71</v>
      </c>
      <c r="S217" s="48">
        <v>1997.57</v>
      </c>
      <c r="T217" s="49"/>
    </row>
    <row r="218" spans="1:20" s="50" customFormat="1" x14ac:dyDescent="0.2">
      <c r="A218" s="50">
        <v>509</v>
      </c>
      <c r="B218" s="50" t="s">
        <v>233</v>
      </c>
      <c r="C218" s="50" t="b">
        <f t="shared" si="3"/>
        <v>0</v>
      </c>
      <c r="D218" s="43"/>
      <c r="E218" s="44">
        <v>511</v>
      </c>
      <c r="F218" s="45" t="s">
        <v>234</v>
      </c>
      <c r="G218" s="46">
        <v>62</v>
      </c>
      <c r="H218" s="39">
        <v>264469.68</v>
      </c>
      <c r="I218" s="39">
        <v>4</v>
      </c>
      <c r="J218" s="39">
        <v>9571.68</v>
      </c>
      <c r="K218" s="39">
        <v>7</v>
      </c>
      <c r="L218" s="39">
        <v>15293.88</v>
      </c>
      <c r="M218" s="39">
        <v>0</v>
      </c>
      <c r="N218" s="39">
        <v>0</v>
      </c>
      <c r="O218" s="39">
        <v>289335.24</v>
      </c>
      <c r="P218" s="2"/>
      <c r="Q218" s="47">
        <v>48670.029999999962</v>
      </c>
      <c r="R218" s="48">
        <v>56577.069999999949</v>
      </c>
      <c r="S218" s="48">
        <v>86800.450000000084</v>
      </c>
      <c r="T218" s="49"/>
    </row>
    <row r="219" spans="1:20" s="50" customFormat="1" x14ac:dyDescent="0.2">
      <c r="A219" s="50">
        <v>511</v>
      </c>
      <c r="B219" s="50" t="s">
        <v>234</v>
      </c>
      <c r="C219" s="50" t="b">
        <f t="shared" si="3"/>
        <v>0</v>
      </c>
      <c r="D219" s="43"/>
      <c r="E219" s="44">
        <v>512</v>
      </c>
      <c r="F219" s="45" t="s">
        <v>235</v>
      </c>
      <c r="G219" s="46">
        <v>7</v>
      </c>
      <c r="H219" s="39">
        <v>29859.48</v>
      </c>
      <c r="I219" s="39">
        <v>0</v>
      </c>
      <c r="J219" s="39">
        <v>0</v>
      </c>
      <c r="K219" s="39">
        <v>0</v>
      </c>
      <c r="L219" s="39">
        <v>0</v>
      </c>
      <c r="M219" s="39">
        <v>0</v>
      </c>
      <c r="N219" s="39">
        <v>0</v>
      </c>
      <c r="O219" s="39">
        <v>29859.48</v>
      </c>
      <c r="P219" s="2"/>
      <c r="Q219" s="47">
        <v>5971.91</v>
      </c>
      <c r="R219" s="48">
        <v>5971.91</v>
      </c>
      <c r="S219" s="48">
        <v>8957.8300000000017</v>
      </c>
      <c r="T219" s="49"/>
    </row>
    <row r="220" spans="1:20" s="50" customFormat="1" x14ac:dyDescent="0.2">
      <c r="A220" s="50">
        <v>512</v>
      </c>
      <c r="B220" s="51" t="s">
        <v>235</v>
      </c>
      <c r="C220" s="52" t="b">
        <f t="shared" si="3"/>
        <v>0</v>
      </c>
      <c r="D220" s="43"/>
      <c r="E220" s="44">
        <v>513</v>
      </c>
      <c r="F220" s="45" t="s">
        <v>236</v>
      </c>
      <c r="G220" s="46">
        <v>6</v>
      </c>
      <c r="H220" s="39">
        <v>25593.84</v>
      </c>
      <c r="I220" s="39">
        <v>5</v>
      </c>
      <c r="J220" s="39">
        <v>11964.6</v>
      </c>
      <c r="K220" s="39">
        <v>0</v>
      </c>
      <c r="L220" s="39">
        <v>0</v>
      </c>
      <c r="M220" s="39">
        <v>0</v>
      </c>
      <c r="N220" s="39">
        <v>0</v>
      </c>
      <c r="O220" s="39">
        <v>37558.44</v>
      </c>
      <c r="P220" s="2"/>
      <c r="Q220" s="47">
        <v>6929.07</v>
      </c>
      <c r="R220" s="48">
        <v>7511.68</v>
      </c>
      <c r="S220" s="48">
        <v>11267.539999999999</v>
      </c>
      <c r="T220" s="49"/>
    </row>
    <row r="221" spans="1:20" s="50" customFormat="1" x14ac:dyDescent="0.2">
      <c r="A221" s="50">
        <v>513</v>
      </c>
      <c r="B221" s="50" t="s">
        <v>236</v>
      </c>
      <c r="C221" s="50" t="b">
        <f t="shared" si="3"/>
        <v>0</v>
      </c>
      <c r="D221" s="43"/>
      <c r="E221" s="44">
        <v>514</v>
      </c>
      <c r="F221" s="45" t="s">
        <v>237</v>
      </c>
      <c r="G221" s="46">
        <v>0</v>
      </c>
      <c r="H221" s="39">
        <v>0</v>
      </c>
      <c r="I221" s="39">
        <v>0</v>
      </c>
      <c r="J221" s="39">
        <v>0</v>
      </c>
      <c r="K221" s="39">
        <v>0</v>
      </c>
      <c r="L221" s="39">
        <v>0</v>
      </c>
      <c r="M221" s="39">
        <v>0</v>
      </c>
      <c r="N221" s="39">
        <v>0</v>
      </c>
      <c r="O221" s="39">
        <v>0</v>
      </c>
      <c r="P221" s="2"/>
      <c r="Q221" s="47">
        <v>0</v>
      </c>
      <c r="R221" s="48">
        <v>0</v>
      </c>
      <c r="S221" s="48">
        <v>0</v>
      </c>
      <c r="T221" s="49"/>
    </row>
    <row r="222" spans="1:20" s="50" customFormat="1" x14ac:dyDescent="0.2">
      <c r="A222" s="50">
        <v>514</v>
      </c>
      <c r="B222" s="50" t="s">
        <v>237</v>
      </c>
      <c r="C222" s="50" t="b">
        <f t="shared" si="3"/>
        <v>0</v>
      </c>
      <c r="D222" s="43"/>
      <c r="E222" s="44">
        <v>515</v>
      </c>
      <c r="F222" s="45" t="s">
        <v>238</v>
      </c>
      <c r="G222" s="46">
        <v>31</v>
      </c>
      <c r="H222" s="39">
        <v>132234.84</v>
      </c>
      <c r="I222" s="39">
        <v>4</v>
      </c>
      <c r="J222" s="39">
        <v>9571.68</v>
      </c>
      <c r="K222" s="39">
        <v>3</v>
      </c>
      <c r="L222" s="39">
        <v>6554.52</v>
      </c>
      <c r="M222" s="39">
        <v>0</v>
      </c>
      <c r="N222" s="39">
        <v>0</v>
      </c>
      <c r="O222" s="39">
        <v>148361.03999999998</v>
      </c>
      <c r="P222" s="2"/>
      <c r="Q222" s="47">
        <v>28340.55000000001</v>
      </c>
      <c r="R222" s="48">
        <v>28340.55000000001</v>
      </c>
      <c r="S222" s="48">
        <v>44508.26</v>
      </c>
      <c r="T222" s="49"/>
    </row>
    <row r="223" spans="1:20" s="50" customFormat="1" x14ac:dyDescent="0.2">
      <c r="A223" s="50">
        <v>515</v>
      </c>
      <c r="B223" s="50" t="s">
        <v>238</v>
      </c>
      <c r="C223" s="50" t="b">
        <f t="shared" si="3"/>
        <v>0</v>
      </c>
      <c r="D223" s="43"/>
      <c r="E223" s="44">
        <v>519</v>
      </c>
      <c r="F223" s="45" t="s">
        <v>239</v>
      </c>
      <c r="G223" s="46">
        <v>14</v>
      </c>
      <c r="H223" s="39">
        <v>59718.96</v>
      </c>
      <c r="I223" s="39">
        <v>1</v>
      </c>
      <c r="J223" s="39">
        <v>2392.92</v>
      </c>
      <c r="K223" s="39">
        <v>1</v>
      </c>
      <c r="L223" s="39">
        <v>2184.84</v>
      </c>
      <c r="M223" s="39">
        <v>0</v>
      </c>
      <c r="N223" s="39">
        <v>0</v>
      </c>
      <c r="O223" s="39">
        <v>64296.72</v>
      </c>
      <c r="P223" s="2"/>
      <c r="Q223" s="47">
        <v>11527.659999999996</v>
      </c>
      <c r="R223" s="48">
        <v>12859.369999999997</v>
      </c>
      <c r="S223" s="48">
        <v>19288.989999999998</v>
      </c>
      <c r="T223" s="49"/>
    </row>
    <row r="224" spans="1:20" s="50" customFormat="1" x14ac:dyDescent="0.2">
      <c r="A224" s="50">
        <v>519</v>
      </c>
      <c r="B224" s="50" t="s">
        <v>239</v>
      </c>
      <c r="C224" s="50" t="b">
        <f t="shared" si="3"/>
        <v>0</v>
      </c>
      <c r="D224" s="43"/>
      <c r="E224" s="44">
        <v>521</v>
      </c>
      <c r="F224" s="45" t="s">
        <v>240</v>
      </c>
      <c r="G224" s="46">
        <v>21</v>
      </c>
      <c r="H224" s="39">
        <v>89578.44</v>
      </c>
      <c r="I224" s="39">
        <v>3</v>
      </c>
      <c r="J224" s="39">
        <v>7178.76</v>
      </c>
      <c r="K224" s="39">
        <v>1</v>
      </c>
      <c r="L224" s="39">
        <v>2184.84</v>
      </c>
      <c r="M224" s="39">
        <v>0</v>
      </c>
      <c r="N224" s="39">
        <v>0</v>
      </c>
      <c r="O224" s="39">
        <v>98942.04</v>
      </c>
      <c r="P224" s="2"/>
      <c r="Q224" s="47">
        <v>17645.209999999995</v>
      </c>
      <c r="R224" s="48">
        <v>19788.439999999999</v>
      </c>
      <c r="S224" s="48">
        <v>29682.579999999991</v>
      </c>
      <c r="T224" s="49"/>
    </row>
    <row r="225" spans="1:20" s="50" customFormat="1" x14ac:dyDescent="0.2">
      <c r="A225" s="50">
        <v>521</v>
      </c>
      <c r="B225" s="50" t="s">
        <v>240</v>
      </c>
      <c r="C225" s="50" t="b">
        <f t="shared" si="3"/>
        <v>0</v>
      </c>
      <c r="D225" s="43"/>
      <c r="E225" s="44">
        <v>523</v>
      </c>
      <c r="F225" s="45" t="s">
        <v>241</v>
      </c>
      <c r="G225" s="46">
        <v>71</v>
      </c>
      <c r="H225" s="39">
        <v>302860.44</v>
      </c>
      <c r="I225" s="39">
        <v>13</v>
      </c>
      <c r="J225" s="39">
        <v>31107.96</v>
      </c>
      <c r="K225" s="39">
        <v>4</v>
      </c>
      <c r="L225" s="39">
        <v>8739.36</v>
      </c>
      <c r="M225" s="39">
        <v>0</v>
      </c>
      <c r="N225" s="39">
        <v>0</v>
      </c>
      <c r="O225" s="39">
        <v>342707.76</v>
      </c>
      <c r="P225" s="2"/>
      <c r="Q225" s="47">
        <v>59157.259999999929</v>
      </c>
      <c r="R225" s="48">
        <v>68541.649999999921</v>
      </c>
      <c r="S225" s="48">
        <v>102812.23000000011</v>
      </c>
      <c r="T225" s="49"/>
    </row>
    <row r="226" spans="1:20" s="50" customFormat="1" x14ac:dyDescent="0.2">
      <c r="A226" s="50">
        <v>523</v>
      </c>
      <c r="B226" s="50" t="s">
        <v>241</v>
      </c>
      <c r="C226" s="50" t="b">
        <f t="shared" si="3"/>
        <v>0</v>
      </c>
      <c r="D226" s="43"/>
      <c r="E226" s="44">
        <v>525</v>
      </c>
      <c r="F226" s="45" t="s">
        <v>242</v>
      </c>
      <c r="G226" s="46">
        <v>19</v>
      </c>
      <c r="H226" s="39">
        <v>81047.16</v>
      </c>
      <c r="I226" s="39">
        <v>8</v>
      </c>
      <c r="J226" s="39">
        <v>19143.36</v>
      </c>
      <c r="K226" s="39">
        <v>4</v>
      </c>
      <c r="L226" s="39">
        <v>8739.36</v>
      </c>
      <c r="M226" s="39">
        <v>0</v>
      </c>
      <c r="N226" s="39">
        <v>0</v>
      </c>
      <c r="O226" s="39">
        <v>108929.88</v>
      </c>
      <c r="P226" s="2"/>
      <c r="Q226" s="47">
        <v>13025.819999999998</v>
      </c>
      <c r="R226" s="48">
        <v>20495.889999999996</v>
      </c>
      <c r="S226" s="48">
        <v>32678.94999999999</v>
      </c>
      <c r="T226" s="49"/>
    </row>
    <row r="227" spans="1:20" s="50" customFormat="1" x14ac:dyDescent="0.2">
      <c r="A227" s="50">
        <v>525</v>
      </c>
      <c r="B227" s="50" t="s">
        <v>242</v>
      </c>
      <c r="C227" s="50" t="b">
        <f t="shared" si="3"/>
        <v>0</v>
      </c>
      <c r="D227" s="43"/>
      <c r="E227" s="44">
        <v>527</v>
      </c>
      <c r="F227" s="45" t="s">
        <v>243</v>
      </c>
      <c r="G227" s="46">
        <v>14</v>
      </c>
      <c r="H227" s="39">
        <v>59718.96</v>
      </c>
      <c r="I227" s="39">
        <v>1</v>
      </c>
      <c r="J227" s="39">
        <v>2392.92</v>
      </c>
      <c r="K227" s="39">
        <v>0</v>
      </c>
      <c r="L227" s="39">
        <v>0</v>
      </c>
      <c r="M227" s="39">
        <v>0</v>
      </c>
      <c r="N227" s="39">
        <v>0</v>
      </c>
      <c r="O227" s="39">
        <v>62111.88</v>
      </c>
      <c r="P227" s="2"/>
      <c r="Q227" s="47">
        <v>13754.109999999999</v>
      </c>
      <c r="R227" s="48">
        <v>12422.399999999996</v>
      </c>
      <c r="S227" s="48">
        <v>18633.54</v>
      </c>
      <c r="T227" s="49"/>
    </row>
    <row r="228" spans="1:20" s="50" customFormat="1" x14ac:dyDescent="0.2">
      <c r="A228" s="50">
        <v>527</v>
      </c>
      <c r="B228" s="50" t="s">
        <v>243</v>
      </c>
      <c r="C228" s="50" t="b">
        <f t="shared" si="3"/>
        <v>0</v>
      </c>
      <c r="D228" s="43"/>
      <c r="E228" s="44">
        <v>531</v>
      </c>
      <c r="F228" s="45" t="s">
        <v>244</v>
      </c>
      <c r="G228" s="46">
        <v>12</v>
      </c>
      <c r="H228" s="39">
        <v>51187.68</v>
      </c>
      <c r="I228" s="39">
        <v>0</v>
      </c>
      <c r="J228" s="39">
        <v>0</v>
      </c>
      <c r="K228" s="39">
        <v>2</v>
      </c>
      <c r="L228" s="39">
        <v>4369.68</v>
      </c>
      <c r="M228" s="39">
        <v>0</v>
      </c>
      <c r="N228" s="39">
        <v>0</v>
      </c>
      <c r="O228" s="39">
        <v>55557.36</v>
      </c>
      <c r="P228" s="2"/>
      <c r="Q228" s="47">
        <v>8531.2999999999993</v>
      </c>
      <c r="R228" s="48">
        <v>9821.4</v>
      </c>
      <c r="S228" s="48">
        <v>16667.180000000004</v>
      </c>
      <c r="T228" s="49"/>
    </row>
    <row r="229" spans="1:20" s="50" customFormat="1" x14ac:dyDescent="0.2">
      <c r="A229" s="50">
        <v>531</v>
      </c>
      <c r="B229" s="50" t="s">
        <v>244</v>
      </c>
      <c r="C229" s="50" t="b">
        <f t="shared" si="3"/>
        <v>0</v>
      </c>
      <c r="D229" s="43"/>
      <c r="E229" s="44">
        <v>532</v>
      </c>
      <c r="F229" s="45" t="s">
        <v>245</v>
      </c>
      <c r="G229" s="46">
        <v>19</v>
      </c>
      <c r="H229" s="39">
        <v>81047.16</v>
      </c>
      <c r="I229" s="39">
        <v>4</v>
      </c>
      <c r="J229" s="39">
        <v>9571.68</v>
      </c>
      <c r="K229" s="39">
        <v>2</v>
      </c>
      <c r="L229" s="39">
        <v>4369.68</v>
      </c>
      <c r="M229" s="39">
        <v>0</v>
      </c>
      <c r="N229" s="39">
        <v>0</v>
      </c>
      <c r="O229" s="39">
        <v>94988.51999999999</v>
      </c>
      <c r="P229" s="2"/>
      <c r="Q229" s="47">
        <v>18560.760000000002</v>
      </c>
      <c r="R229" s="48">
        <v>18997.729999999996</v>
      </c>
      <c r="S229" s="48">
        <v>28496.529999999992</v>
      </c>
      <c r="T229" s="49"/>
    </row>
    <row r="230" spans="1:20" s="50" customFormat="1" x14ac:dyDescent="0.2">
      <c r="A230" s="50">
        <v>532</v>
      </c>
      <c r="B230" s="50" t="s">
        <v>245</v>
      </c>
      <c r="C230" s="50" t="b">
        <f t="shared" si="3"/>
        <v>0</v>
      </c>
      <c r="D230" s="43"/>
      <c r="E230" s="44">
        <v>535</v>
      </c>
      <c r="F230" s="45" t="s">
        <v>246</v>
      </c>
      <c r="G230" s="46">
        <v>32</v>
      </c>
      <c r="H230" s="39">
        <v>136500.48000000001</v>
      </c>
      <c r="I230" s="39">
        <v>9</v>
      </c>
      <c r="J230" s="39">
        <v>21536.28</v>
      </c>
      <c r="K230" s="39">
        <v>0</v>
      </c>
      <c r="L230" s="39">
        <v>0</v>
      </c>
      <c r="M230" s="39">
        <v>0</v>
      </c>
      <c r="N230" s="39">
        <v>0</v>
      </c>
      <c r="O230" s="39">
        <v>158036.76</v>
      </c>
      <c r="P230" s="2"/>
      <c r="Q230" s="47">
        <v>28839.93</v>
      </c>
      <c r="R230" s="48">
        <v>32939.090000000004</v>
      </c>
      <c r="S230" s="48">
        <v>47411</v>
      </c>
      <c r="T230" s="49"/>
    </row>
    <row r="231" spans="1:20" s="50" customFormat="1" x14ac:dyDescent="0.2">
      <c r="A231" s="50">
        <v>535</v>
      </c>
      <c r="B231" s="50" t="s">
        <v>246</v>
      </c>
      <c r="C231" s="50" t="b">
        <f t="shared" si="3"/>
        <v>0</v>
      </c>
      <c r="D231" s="43"/>
      <c r="E231" s="44">
        <v>537</v>
      </c>
      <c r="F231" s="45" t="s">
        <v>247</v>
      </c>
      <c r="G231" s="46">
        <v>11</v>
      </c>
      <c r="H231" s="39">
        <v>46922.04</v>
      </c>
      <c r="I231" s="39">
        <v>1</v>
      </c>
      <c r="J231" s="39">
        <v>2392.92</v>
      </c>
      <c r="K231" s="39">
        <v>2</v>
      </c>
      <c r="L231" s="39">
        <v>4369.68</v>
      </c>
      <c r="M231" s="39">
        <v>0</v>
      </c>
      <c r="N231" s="39">
        <v>0</v>
      </c>
      <c r="O231" s="39">
        <v>53684.639999999999</v>
      </c>
      <c r="P231" s="2"/>
      <c r="Q231" s="47">
        <v>11548.469999999998</v>
      </c>
      <c r="R231" s="48">
        <v>10258.369999999999</v>
      </c>
      <c r="S231" s="48">
        <v>16105.370000000004</v>
      </c>
      <c r="T231" s="49"/>
    </row>
    <row r="232" spans="1:20" s="50" customFormat="1" x14ac:dyDescent="0.2">
      <c r="A232" s="50">
        <v>537</v>
      </c>
      <c r="B232" s="50" t="s">
        <v>247</v>
      </c>
      <c r="C232" s="50" t="b">
        <f t="shared" si="3"/>
        <v>0</v>
      </c>
      <c r="D232" s="43"/>
      <c r="E232" s="44">
        <v>539</v>
      </c>
      <c r="F232" s="45" t="s">
        <v>248</v>
      </c>
      <c r="G232" s="46">
        <v>3</v>
      </c>
      <c r="H232" s="39">
        <v>12796.92</v>
      </c>
      <c r="I232" s="39">
        <v>0</v>
      </c>
      <c r="J232" s="39">
        <v>0</v>
      </c>
      <c r="K232" s="39">
        <v>0</v>
      </c>
      <c r="L232" s="39">
        <v>0</v>
      </c>
      <c r="M232" s="39">
        <v>0</v>
      </c>
      <c r="N232" s="39">
        <v>0</v>
      </c>
      <c r="O232" s="39">
        <v>12796.92</v>
      </c>
      <c r="P232" s="2"/>
      <c r="Q232" s="47">
        <v>2559.39</v>
      </c>
      <c r="R232" s="48">
        <v>2559.39</v>
      </c>
      <c r="S232" s="48">
        <v>3839.07</v>
      </c>
      <c r="T232" s="49"/>
    </row>
    <row r="233" spans="1:20" s="50" customFormat="1" x14ac:dyDescent="0.2">
      <c r="A233" s="50">
        <v>539</v>
      </c>
      <c r="B233" s="50" t="s">
        <v>248</v>
      </c>
      <c r="C233" s="50" t="b">
        <f t="shared" si="3"/>
        <v>0</v>
      </c>
      <c r="D233" s="43"/>
      <c r="E233" s="44">
        <v>543</v>
      </c>
      <c r="F233" s="45" t="s">
        <v>249</v>
      </c>
      <c r="G233" s="46">
        <v>31</v>
      </c>
      <c r="H233" s="39">
        <v>132234.84</v>
      </c>
      <c r="I233" s="39">
        <v>7</v>
      </c>
      <c r="J233" s="39">
        <v>16750.439999999999</v>
      </c>
      <c r="K233" s="39">
        <v>3</v>
      </c>
      <c r="L233" s="39">
        <v>6554.52</v>
      </c>
      <c r="M233" s="39">
        <v>0</v>
      </c>
      <c r="N233" s="39">
        <v>0</v>
      </c>
      <c r="O233" s="39">
        <v>155539.79999999999</v>
      </c>
      <c r="P233" s="2"/>
      <c r="Q233" s="47">
        <v>27591.45</v>
      </c>
      <c r="R233" s="48">
        <v>30254.870000000003</v>
      </c>
      <c r="S233" s="48">
        <v>46661.9</v>
      </c>
      <c r="T233" s="49"/>
    </row>
    <row r="234" spans="1:20" s="50" customFormat="1" x14ac:dyDescent="0.2">
      <c r="A234" s="50">
        <v>543</v>
      </c>
      <c r="B234" s="50" t="s">
        <v>249</v>
      </c>
      <c r="C234" s="50" t="b">
        <f t="shared" si="3"/>
        <v>0</v>
      </c>
      <c r="D234" s="43"/>
      <c r="E234" s="44">
        <v>545</v>
      </c>
      <c r="F234" s="45" t="s">
        <v>250</v>
      </c>
      <c r="G234" s="46">
        <v>41</v>
      </c>
      <c r="H234" s="39">
        <v>174891.24</v>
      </c>
      <c r="I234" s="39">
        <v>2</v>
      </c>
      <c r="J234" s="39">
        <v>4785.84</v>
      </c>
      <c r="K234" s="39">
        <v>1</v>
      </c>
      <c r="L234" s="39">
        <v>2184.84</v>
      </c>
      <c r="M234" s="39">
        <v>0</v>
      </c>
      <c r="N234" s="39">
        <v>0</v>
      </c>
      <c r="O234" s="39">
        <v>181861.91999999998</v>
      </c>
      <c r="P234" s="2"/>
      <c r="Q234" s="47">
        <v>35415.300000000003</v>
      </c>
      <c r="R234" s="48">
        <v>36372.460000000006</v>
      </c>
      <c r="S234" s="48">
        <v>54558.500000000022</v>
      </c>
      <c r="T234" s="49"/>
    </row>
    <row r="235" spans="1:20" s="50" customFormat="1" x14ac:dyDescent="0.2">
      <c r="A235" s="50">
        <v>545</v>
      </c>
      <c r="B235" s="50" t="s">
        <v>250</v>
      </c>
      <c r="C235" s="50" t="b">
        <f t="shared" si="3"/>
        <v>0</v>
      </c>
      <c r="D235" s="43"/>
      <c r="E235" s="44">
        <v>547</v>
      </c>
      <c r="F235" s="45" t="s">
        <v>251</v>
      </c>
      <c r="G235" s="46">
        <v>37</v>
      </c>
      <c r="H235" s="39">
        <v>157828.68</v>
      </c>
      <c r="I235" s="39">
        <v>5</v>
      </c>
      <c r="J235" s="39">
        <v>11964.6</v>
      </c>
      <c r="K235" s="39">
        <v>1</v>
      </c>
      <c r="L235" s="39">
        <v>2184.84</v>
      </c>
      <c r="M235" s="39">
        <v>0</v>
      </c>
      <c r="N235" s="39">
        <v>0</v>
      </c>
      <c r="O235" s="39">
        <v>171978.12</v>
      </c>
      <c r="P235" s="2"/>
      <c r="Q235" s="47">
        <v>30983.160000000007</v>
      </c>
      <c r="R235" s="48">
        <v>34395.68</v>
      </c>
      <c r="S235" s="48">
        <v>51593.380000000019</v>
      </c>
      <c r="T235" s="49"/>
    </row>
    <row r="236" spans="1:20" s="50" customFormat="1" x14ac:dyDescent="0.2">
      <c r="A236" s="50">
        <v>547</v>
      </c>
      <c r="B236" s="50" t="s">
        <v>251</v>
      </c>
      <c r="C236" s="50" t="b">
        <f t="shared" si="3"/>
        <v>0</v>
      </c>
      <c r="D236" s="43"/>
      <c r="E236" s="44">
        <v>549</v>
      </c>
      <c r="F236" s="45" t="s">
        <v>252</v>
      </c>
      <c r="G236" s="46">
        <v>6</v>
      </c>
      <c r="H236" s="39">
        <v>25593.84</v>
      </c>
      <c r="I236" s="39">
        <v>0</v>
      </c>
      <c r="J236" s="39">
        <v>0</v>
      </c>
      <c r="K236" s="39">
        <v>0</v>
      </c>
      <c r="L236" s="39">
        <v>0</v>
      </c>
      <c r="M236" s="39">
        <v>0</v>
      </c>
      <c r="N236" s="39">
        <v>0</v>
      </c>
      <c r="O236" s="39">
        <v>25593.84</v>
      </c>
      <c r="P236" s="2"/>
      <c r="Q236" s="47">
        <v>3412.52</v>
      </c>
      <c r="R236" s="48">
        <v>5118.78</v>
      </c>
      <c r="S236" s="48">
        <v>7678.1400000000012</v>
      </c>
      <c r="T236" s="49"/>
    </row>
    <row r="237" spans="1:20" s="50" customFormat="1" x14ac:dyDescent="0.2">
      <c r="A237" s="50">
        <v>549</v>
      </c>
      <c r="B237" s="50" t="s">
        <v>252</v>
      </c>
      <c r="C237" s="50" t="b">
        <f t="shared" si="3"/>
        <v>0</v>
      </c>
      <c r="D237" s="43"/>
      <c r="E237" s="44">
        <v>551</v>
      </c>
      <c r="F237" s="45" t="s">
        <v>253</v>
      </c>
      <c r="G237" s="46">
        <v>6</v>
      </c>
      <c r="H237" s="39">
        <v>25593.84</v>
      </c>
      <c r="I237" s="39">
        <v>2</v>
      </c>
      <c r="J237" s="39">
        <v>4785.84</v>
      </c>
      <c r="K237" s="39">
        <v>1</v>
      </c>
      <c r="L237" s="39">
        <v>2184.84</v>
      </c>
      <c r="M237" s="39">
        <v>0</v>
      </c>
      <c r="N237" s="39">
        <v>0</v>
      </c>
      <c r="O237" s="39">
        <v>32564.52</v>
      </c>
      <c r="P237" s="2"/>
      <c r="Q237" s="47">
        <v>5181.2</v>
      </c>
      <c r="R237" s="48">
        <v>6512.91</v>
      </c>
      <c r="S237" s="48">
        <v>9769.35</v>
      </c>
      <c r="T237" s="49"/>
    </row>
    <row r="238" spans="1:20" s="50" customFormat="1" x14ac:dyDescent="0.2">
      <c r="A238" s="50">
        <v>551</v>
      </c>
      <c r="B238" s="50" t="s">
        <v>253</v>
      </c>
      <c r="C238" s="50" t="b">
        <f t="shared" si="3"/>
        <v>0</v>
      </c>
      <c r="D238" s="43"/>
      <c r="E238" s="44">
        <v>553</v>
      </c>
      <c r="F238" s="45" t="s">
        <v>254</v>
      </c>
      <c r="G238" s="46">
        <v>0</v>
      </c>
      <c r="H238" s="39">
        <v>0</v>
      </c>
      <c r="I238" s="39">
        <v>0</v>
      </c>
      <c r="J238" s="39">
        <v>0</v>
      </c>
      <c r="K238" s="39">
        <v>0</v>
      </c>
      <c r="L238" s="39">
        <v>0</v>
      </c>
      <c r="M238" s="39">
        <v>0</v>
      </c>
      <c r="N238" s="39">
        <v>0</v>
      </c>
      <c r="O238" s="39">
        <v>0</v>
      </c>
      <c r="P238" s="2"/>
      <c r="Q238" s="47">
        <v>0</v>
      </c>
      <c r="R238" s="48">
        <v>0</v>
      </c>
      <c r="S238" s="48">
        <v>0</v>
      </c>
      <c r="T238" s="49"/>
    </row>
    <row r="239" spans="1:20" s="50" customFormat="1" x14ac:dyDescent="0.2">
      <c r="A239" s="50">
        <v>553</v>
      </c>
      <c r="B239" s="50" t="s">
        <v>254</v>
      </c>
      <c r="C239" s="50" t="b">
        <f t="shared" si="3"/>
        <v>0</v>
      </c>
      <c r="D239" s="43"/>
      <c r="E239" s="44">
        <v>555</v>
      </c>
      <c r="F239" s="45" t="s">
        <v>255</v>
      </c>
      <c r="G239" s="46">
        <v>82</v>
      </c>
      <c r="H239" s="39">
        <v>349782.48</v>
      </c>
      <c r="I239" s="39">
        <v>20</v>
      </c>
      <c r="J239" s="39">
        <v>47858.400000000001</v>
      </c>
      <c r="K239" s="39">
        <v>5</v>
      </c>
      <c r="L239" s="39">
        <v>10924.2</v>
      </c>
      <c r="M239" s="39">
        <v>0</v>
      </c>
      <c r="N239" s="39">
        <v>0</v>
      </c>
      <c r="O239" s="39">
        <v>408565.08</v>
      </c>
      <c r="P239" s="2"/>
      <c r="Q239" s="47">
        <v>76240.609999999971</v>
      </c>
      <c r="R239" s="48">
        <v>78092.53</v>
      </c>
      <c r="S239" s="48">
        <v>122569.43000000014</v>
      </c>
      <c r="T239" s="49"/>
    </row>
    <row r="240" spans="1:20" s="50" customFormat="1" x14ac:dyDescent="0.2">
      <c r="A240" s="50">
        <v>555</v>
      </c>
      <c r="B240" s="50" t="s">
        <v>255</v>
      </c>
      <c r="C240" s="50" t="b">
        <f t="shared" si="3"/>
        <v>0</v>
      </c>
      <c r="D240" s="43"/>
      <c r="E240" s="44">
        <v>557</v>
      </c>
      <c r="F240" s="45" t="s">
        <v>256</v>
      </c>
      <c r="G240" s="46">
        <v>22</v>
      </c>
      <c r="H240" s="39">
        <v>93844.08</v>
      </c>
      <c r="I240" s="39">
        <v>2</v>
      </c>
      <c r="J240" s="39">
        <v>4785.84</v>
      </c>
      <c r="K240" s="39">
        <v>4</v>
      </c>
      <c r="L240" s="39">
        <v>8739.36</v>
      </c>
      <c r="M240" s="39">
        <v>0</v>
      </c>
      <c r="N240" s="39">
        <v>0</v>
      </c>
      <c r="O240" s="39">
        <v>107369.28</v>
      </c>
      <c r="P240" s="2"/>
      <c r="Q240" s="47">
        <v>19330.669999999991</v>
      </c>
      <c r="R240" s="48">
        <v>21473.899999999998</v>
      </c>
      <c r="S240" s="48">
        <v>32210.739999999987</v>
      </c>
      <c r="T240" s="49"/>
    </row>
    <row r="241" spans="1:20" s="50" customFormat="1" x14ac:dyDescent="0.2">
      <c r="A241" s="50">
        <v>557</v>
      </c>
      <c r="B241" s="50" t="s">
        <v>256</v>
      </c>
      <c r="C241" s="50" t="b">
        <f t="shared" si="3"/>
        <v>0</v>
      </c>
      <c r="D241" s="43"/>
      <c r="E241" s="44">
        <v>559</v>
      </c>
      <c r="F241" s="45" t="s">
        <v>257</v>
      </c>
      <c r="G241" s="46">
        <v>2</v>
      </c>
      <c r="H241" s="39">
        <v>8531.2800000000007</v>
      </c>
      <c r="I241" s="39">
        <v>0</v>
      </c>
      <c r="J241" s="39">
        <v>0</v>
      </c>
      <c r="K241" s="39">
        <v>0</v>
      </c>
      <c r="L241" s="39">
        <v>0</v>
      </c>
      <c r="M241" s="39">
        <v>0</v>
      </c>
      <c r="N241" s="39">
        <v>0</v>
      </c>
      <c r="O241" s="39">
        <v>8531.2800000000007</v>
      </c>
      <c r="P241" s="2"/>
      <c r="Q241" s="47">
        <v>3037.9700000000003</v>
      </c>
      <c r="R241" s="48">
        <v>1706.26</v>
      </c>
      <c r="S241" s="48">
        <v>2559.38</v>
      </c>
      <c r="T241" s="49"/>
    </row>
    <row r="242" spans="1:20" s="50" customFormat="1" x14ac:dyDescent="0.2">
      <c r="A242" s="50">
        <v>559</v>
      </c>
      <c r="B242" s="50" t="s">
        <v>257</v>
      </c>
      <c r="C242" s="50" t="b">
        <f t="shared" si="3"/>
        <v>0</v>
      </c>
      <c r="D242" s="43"/>
      <c r="E242" s="44">
        <v>561</v>
      </c>
      <c r="F242" s="45" t="s">
        <v>258</v>
      </c>
      <c r="G242" s="46">
        <v>0</v>
      </c>
      <c r="H242" s="39">
        <v>0</v>
      </c>
      <c r="I242" s="39">
        <v>0</v>
      </c>
      <c r="J242" s="39">
        <v>0</v>
      </c>
      <c r="K242" s="39">
        <v>0</v>
      </c>
      <c r="L242" s="39">
        <v>0</v>
      </c>
      <c r="M242" s="39">
        <v>0</v>
      </c>
      <c r="N242" s="39">
        <v>0</v>
      </c>
      <c r="O242" s="39">
        <v>0</v>
      </c>
      <c r="P242" s="2"/>
      <c r="Q242" s="47">
        <v>0</v>
      </c>
      <c r="R242" s="48">
        <v>0</v>
      </c>
      <c r="S242" s="48">
        <v>0</v>
      </c>
      <c r="T242" s="49"/>
    </row>
    <row r="243" spans="1:20" s="50" customFormat="1" x14ac:dyDescent="0.2">
      <c r="A243" s="50">
        <v>561</v>
      </c>
      <c r="B243" s="50" t="s">
        <v>258</v>
      </c>
      <c r="C243" s="50" t="b">
        <f t="shared" si="3"/>
        <v>0</v>
      </c>
      <c r="D243" s="43"/>
      <c r="E243" s="44">
        <v>563</v>
      </c>
      <c r="F243" s="45" t="s">
        <v>259</v>
      </c>
      <c r="G243" s="46">
        <v>10</v>
      </c>
      <c r="H243" s="39">
        <v>42656.4</v>
      </c>
      <c r="I243" s="39">
        <v>4</v>
      </c>
      <c r="J243" s="39">
        <v>9571.68</v>
      </c>
      <c r="K243" s="39">
        <v>0</v>
      </c>
      <c r="L243" s="39">
        <v>0</v>
      </c>
      <c r="M243" s="39">
        <v>0</v>
      </c>
      <c r="N243" s="39">
        <v>0</v>
      </c>
      <c r="O243" s="39">
        <v>52228.08</v>
      </c>
      <c r="P243" s="2"/>
      <c r="Q243" s="47">
        <v>11777.33</v>
      </c>
      <c r="R243" s="48">
        <v>10445.620000000001</v>
      </c>
      <c r="S243" s="48">
        <v>15668.42</v>
      </c>
      <c r="T243" s="49"/>
    </row>
    <row r="244" spans="1:20" s="50" customFormat="1" x14ac:dyDescent="0.2">
      <c r="A244" s="50">
        <v>563</v>
      </c>
      <c r="B244" s="50" t="s">
        <v>259</v>
      </c>
      <c r="C244" s="50" t="b">
        <f t="shared" si="3"/>
        <v>0</v>
      </c>
      <c r="D244" s="43"/>
      <c r="E244" s="44">
        <v>567</v>
      </c>
      <c r="F244" s="45" t="s">
        <v>260</v>
      </c>
      <c r="G244" s="46">
        <v>28</v>
      </c>
      <c r="H244" s="39">
        <v>119437.92</v>
      </c>
      <c r="I244" s="39">
        <v>4</v>
      </c>
      <c r="J244" s="39">
        <v>9571.68</v>
      </c>
      <c r="K244" s="39">
        <v>2</v>
      </c>
      <c r="L244" s="39">
        <v>4369.68</v>
      </c>
      <c r="M244" s="39">
        <v>0</v>
      </c>
      <c r="N244" s="39">
        <v>0</v>
      </c>
      <c r="O244" s="39">
        <v>133379.28</v>
      </c>
      <c r="P244" s="2"/>
      <c r="Q244" s="47">
        <v>24969.639999999996</v>
      </c>
      <c r="R244" s="48">
        <v>26675.899999999998</v>
      </c>
      <c r="S244" s="48">
        <v>40013.740000000005</v>
      </c>
      <c r="T244" s="49"/>
    </row>
    <row r="245" spans="1:20" s="50" customFormat="1" x14ac:dyDescent="0.2">
      <c r="A245" s="50">
        <v>567</v>
      </c>
      <c r="B245" s="50" t="s">
        <v>260</v>
      </c>
      <c r="C245" s="50" t="b">
        <f t="shared" si="3"/>
        <v>0</v>
      </c>
      <c r="D245" s="43"/>
      <c r="E245" s="44">
        <v>569</v>
      </c>
      <c r="F245" s="45" t="s">
        <v>261</v>
      </c>
      <c r="G245" s="46">
        <v>21</v>
      </c>
      <c r="H245" s="39">
        <v>89578.44</v>
      </c>
      <c r="I245" s="39">
        <v>3</v>
      </c>
      <c r="J245" s="39">
        <v>7178.76</v>
      </c>
      <c r="K245" s="39">
        <v>2</v>
      </c>
      <c r="L245" s="39">
        <v>4369.68</v>
      </c>
      <c r="M245" s="39">
        <v>0</v>
      </c>
      <c r="N245" s="39">
        <v>0</v>
      </c>
      <c r="O245" s="39">
        <v>101126.88</v>
      </c>
      <c r="P245" s="2"/>
      <c r="Q245" s="47">
        <v>19788.440000000002</v>
      </c>
      <c r="R245" s="48">
        <v>20225.41</v>
      </c>
      <c r="S245" s="48">
        <v>30338.029999999992</v>
      </c>
      <c r="T245" s="49"/>
    </row>
    <row r="246" spans="1:20" s="50" customFormat="1" x14ac:dyDescent="0.2">
      <c r="A246" s="50">
        <v>569</v>
      </c>
      <c r="B246" s="50" t="s">
        <v>261</v>
      </c>
      <c r="C246" s="50" t="b">
        <f t="shared" si="3"/>
        <v>0</v>
      </c>
      <c r="D246" s="43"/>
      <c r="E246" s="44">
        <v>571</v>
      </c>
      <c r="F246" s="45" t="s">
        <v>262</v>
      </c>
      <c r="G246" s="46">
        <v>52</v>
      </c>
      <c r="H246" s="39">
        <v>221813.28</v>
      </c>
      <c r="I246" s="39">
        <v>15</v>
      </c>
      <c r="J246" s="39">
        <v>35893.800000000003</v>
      </c>
      <c r="K246" s="39">
        <v>5</v>
      </c>
      <c r="L246" s="39">
        <v>10924.2</v>
      </c>
      <c r="M246" s="39">
        <v>0</v>
      </c>
      <c r="N246" s="39">
        <v>0</v>
      </c>
      <c r="O246" s="39">
        <v>268631.28000000003</v>
      </c>
      <c r="P246" s="2"/>
      <c r="Q246" s="47">
        <v>47608.799999999967</v>
      </c>
      <c r="R246" s="48">
        <v>53726.309999999961</v>
      </c>
      <c r="S246" s="48">
        <v>80589.330000000045</v>
      </c>
      <c r="T246" s="49"/>
    </row>
    <row r="247" spans="1:20" s="50" customFormat="1" x14ac:dyDescent="0.2">
      <c r="A247" s="50">
        <v>571</v>
      </c>
      <c r="B247" s="50" t="s">
        <v>262</v>
      </c>
      <c r="C247" s="50" t="b">
        <f t="shared" si="3"/>
        <v>0</v>
      </c>
      <c r="D247" s="43"/>
      <c r="E247" s="44">
        <v>573</v>
      </c>
      <c r="F247" s="45" t="s">
        <v>263</v>
      </c>
      <c r="G247" s="46">
        <v>31</v>
      </c>
      <c r="H247" s="39">
        <v>132234.84</v>
      </c>
      <c r="I247" s="39">
        <v>14</v>
      </c>
      <c r="J247" s="39">
        <v>33500.879999999997</v>
      </c>
      <c r="K247" s="39">
        <v>4</v>
      </c>
      <c r="L247" s="39">
        <v>8739.36</v>
      </c>
      <c r="M247" s="39">
        <v>0</v>
      </c>
      <c r="N247" s="39">
        <v>0</v>
      </c>
      <c r="O247" s="39">
        <v>174475.08000000002</v>
      </c>
      <c r="P247" s="2"/>
      <c r="Q247" s="47">
        <v>32231.609999999997</v>
      </c>
      <c r="R247" s="48">
        <v>35269.579999999994</v>
      </c>
      <c r="S247" s="48">
        <v>52342.51</v>
      </c>
      <c r="T247" s="49"/>
    </row>
    <row r="248" spans="1:20" s="50" customFormat="1" x14ac:dyDescent="0.2">
      <c r="A248" s="50">
        <v>573</v>
      </c>
      <c r="B248" s="50" t="s">
        <v>263</v>
      </c>
      <c r="C248" s="50" t="b">
        <f t="shared" si="3"/>
        <v>0</v>
      </c>
      <c r="D248" s="43"/>
      <c r="E248" s="44">
        <v>575</v>
      </c>
      <c r="F248" s="45" t="s">
        <v>264</v>
      </c>
      <c r="G248" s="46">
        <v>75</v>
      </c>
      <c r="H248" s="39">
        <v>319923</v>
      </c>
      <c r="I248" s="39">
        <v>2</v>
      </c>
      <c r="J248" s="39">
        <v>4785.84</v>
      </c>
      <c r="K248" s="39">
        <v>6</v>
      </c>
      <c r="L248" s="39">
        <v>13109.04</v>
      </c>
      <c r="M248" s="39">
        <v>0</v>
      </c>
      <c r="N248" s="39">
        <v>0</v>
      </c>
      <c r="O248" s="39">
        <v>337817.88</v>
      </c>
      <c r="P248" s="2"/>
      <c r="Q248" s="47">
        <v>62861.109999999921</v>
      </c>
      <c r="R248" s="48">
        <v>66710.599999999919</v>
      </c>
      <c r="S248" s="48">
        <v>101345.21000000011</v>
      </c>
      <c r="T248" s="49"/>
    </row>
    <row r="249" spans="1:20" s="50" customFormat="1" x14ac:dyDescent="0.2">
      <c r="A249" s="50">
        <v>575</v>
      </c>
      <c r="B249" s="50" t="s">
        <v>264</v>
      </c>
      <c r="C249" s="50" t="b">
        <f t="shared" si="3"/>
        <v>0</v>
      </c>
      <c r="D249" s="43"/>
      <c r="E249" s="44">
        <v>579</v>
      </c>
      <c r="F249" s="45" t="s">
        <v>265</v>
      </c>
      <c r="G249" s="46">
        <v>0</v>
      </c>
      <c r="H249" s="39">
        <v>0</v>
      </c>
      <c r="I249" s="39">
        <v>0</v>
      </c>
      <c r="J249" s="39">
        <v>0</v>
      </c>
      <c r="K249" s="39">
        <v>0</v>
      </c>
      <c r="L249" s="39">
        <v>0</v>
      </c>
      <c r="M249" s="39">
        <v>0</v>
      </c>
      <c r="N249" s="39">
        <v>0</v>
      </c>
      <c r="O249" s="39">
        <v>0</v>
      </c>
      <c r="P249" s="2"/>
      <c r="Q249" s="47">
        <v>0</v>
      </c>
      <c r="R249" s="48">
        <v>0</v>
      </c>
      <c r="S249" s="48">
        <v>0</v>
      </c>
      <c r="T249" s="49"/>
    </row>
    <row r="250" spans="1:20" s="50" customFormat="1" x14ac:dyDescent="0.2">
      <c r="A250" s="50">
        <v>579</v>
      </c>
      <c r="B250" s="50" t="s">
        <v>265</v>
      </c>
      <c r="C250" s="50" t="b">
        <f t="shared" si="3"/>
        <v>0</v>
      </c>
      <c r="D250" s="43"/>
      <c r="E250" s="44">
        <v>583</v>
      </c>
      <c r="F250" s="45" t="s">
        <v>266</v>
      </c>
      <c r="G250" s="46">
        <v>75</v>
      </c>
      <c r="H250" s="39">
        <v>319923</v>
      </c>
      <c r="I250" s="39">
        <v>16</v>
      </c>
      <c r="J250" s="39">
        <v>38286.720000000001</v>
      </c>
      <c r="K250" s="39">
        <v>2</v>
      </c>
      <c r="L250" s="39">
        <v>4369.68</v>
      </c>
      <c r="M250" s="39">
        <v>0</v>
      </c>
      <c r="N250" s="39">
        <v>0</v>
      </c>
      <c r="O250" s="39">
        <v>362579.39999999997</v>
      </c>
      <c r="P250" s="2"/>
      <c r="Q250" s="47">
        <v>66627.329999999914</v>
      </c>
      <c r="R250" s="48">
        <v>70747.289999999935</v>
      </c>
      <c r="S250" s="48">
        <v>108773.7300000001</v>
      </c>
      <c r="T250" s="49"/>
    </row>
    <row r="251" spans="1:20" s="50" customFormat="1" x14ac:dyDescent="0.2">
      <c r="A251" s="50">
        <v>583</v>
      </c>
      <c r="B251" s="50" t="s">
        <v>266</v>
      </c>
      <c r="C251" s="50" t="b">
        <f t="shared" si="3"/>
        <v>0</v>
      </c>
      <c r="D251" s="43"/>
      <c r="E251" s="44">
        <v>585</v>
      </c>
      <c r="F251" s="45" t="s">
        <v>267</v>
      </c>
      <c r="G251" s="46">
        <v>6</v>
      </c>
      <c r="H251" s="39">
        <v>25593.84</v>
      </c>
      <c r="I251" s="39">
        <v>5</v>
      </c>
      <c r="J251" s="39">
        <v>11964.6</v>
      </c>
      <c r="K251" s="39">
        <v>0</v>
      </c>
      <c r="L251" s="39">
        <v>0</v>
      </c>
      <c r="M251" s="39">
        <v>0</v>
      </c>
      <c r="N251" s="39">
        <v>0</v>
      </c>
      <c r="O251" s="39">
        <v>37558.44</v>
      </c>
      <c r="P251" s="2"/>
      <c r="Q251" s="47">
        <v>6658.55</v>
      </c>
      <c r="R251" s="48">
        <v>7511.68</v>
      </c>
      <c r="S251" s="48">
        <v>11267.54</v>
      </c>
      <c r="T251" s="49"/>
    </row>
    <row r="252" spans="1:20" s="50" customFormat="1" x14ac:dyDescent="0.2">
      <c r="A252" s="50">
        <v>585</v>
      </c>
      <c r="B252" s="50" t="s">
        <v>267</v>
      </c>
      <c r="C252" s="50" t="b">
        <f t="shared" si="3"/>
        <v>0</v>
      </c>
      <c r="D252" s="43"/>
      <c r="E252" s="44">
        <v>417</v>
      </c>
      <c r="F252" s="45" t="s">
        <v>268</v>
      </c>
      <c r="G252" s="46">
        <v>7</v>
      </c>
      <c r="H252" s="39">
        <v>29859.48</v>
      </c>
      <c r="I252" s="39">
        <v>2</v>
      </c>
      <c r="J252" s="39">
        <v>4785.84</v>
      </c>
      <c r="K252" s="39">
        <v>2</v>
      </c>
      <c r="L252" s="39">
        <v>4369.68</v>
      </c>
      <c r="M252" s="39">
        <v>0</v>
      </c>
      <c r="N252" s="39">
        <v>0</v>
      </c>
      <c r="O252" s="39">
        <v>39015</v>
      </c>
      <c r="P252" s="2"/>
      <c r="Q252" s="47">
        <v>9134.7199999999993</v>
      </c>
      <c r="R252" s="48">
        <v>7803.01</v>
      </c>
      <c r="S252" s="48">
        <v>11704.490000000002</v>
      </c>
      <c r="T252" s="49"/>
    </row>
    <row r="253" spans="1:20" x14ac:dyDescent="0.2">
      <c r="E253" s="55"/>
      <c r="F253" s="55"/>
      <c r="G253" s="55"/>
      <c r="H253" s="56"/>
      <c r="I253" s="56"/>
      <c r="J253" s="57"/>
      <c r="K253" s="55"/>
      <c r="L253" s="57"/>
      <c r="M253" s="58"/>
      <c r="N253" s="57"/>
      <c r="O253" s="59"/>
    </row>
    <row r="255" spans="1:20" ht="15" x14ac:dyDescent="0.2">
      <c r="F255" s="60"/>
      <c r="G255" s="60"/>
      <c r="H255" s="61"/>
      <c r="I255" s="61"/>
      <c r="J255" s="61"/>
      <c r="K255" s="61"/>
      <c r="L255" s="1"/>
      <c r="M255" s="62"/>
      <c r="N255" s="1"/>
      <c r="O255" s="1"/>
    </row>
    <row r="256" spans="1:20" ht="15" x14ac:dyDescent="0.2">
      <c r="F256" s="60"/>
      <c r="G256" s="60"/>
    </row>
    <row r="257" spans="6:7" ht="15" x14ac:dyDescent="0.2">
      <c r="F257" s="60"/>
      <c r="G257" s="60"/>
    </row>
    <row r="258" spans="6:7" ht="15" x14ac:dyDescent="0.2">
      <c r="F258" s="60"/>
      <c r="G258" s="60"/>
    </row>
    <row r="259" spans="6:7" ht="15" x14ac:dyDescent="0.2">
      <c r="F259" s="60"/>
      <c r="G259" s="60"/>
    </row>
    <row r="260" spans="6:7" ht="15" x14ac:dyDescent="0.2">
      <c r="F260" s="60"/>
      <c r="G260" s="60"/>
    </row>
    <row r="261" spans="6:7" ht="15" x14ac:dyDescent="0.2">
      <c r="F261" s="60"/>
      <c r="G261" s="60"/>
    </row>
    <row r="262" spans="6:7" ht="15" x14ac:dyDescent="0.2">
      <c r="F262" s="60"/>
      <c r="G262" s="60"/>
    </row>
    <row r="263" spans="6:7" ht="15" x14ac:dyDescent="0.2">
      <c r="F263" s="60"/>
      <c r="G263" s="60"/>
    </row>
    <row r="264" spans="6:7" ht="15" x14ac:dyDescent="0.2">
      <c r="F264" s="60"/>
      <c r="G264" s="60"/>
    </row>
    <row r="265" spans="6:7" ht="15" x14ac:dyDescent="0.2">
      <c r="F265" s="60"/>
      <c r="G265" s="60"/>
    </row>
    <row r="266" spans="6:7" ht="15" x14ac:dyDescent="0.2">
      <c r="F266" s="60"/>
      <c r="G266" s="60"/>
    </row>
    <row r="267" spans="6:7" ht="15" x14ac:dyDescent="0.2">
      <c r="F267" s="60"/>
      <c r="G267" s="60"/>
    </row>
    <row r="268" spans="6:7" ht="15" x14ac:dyDescent="0.2">
      <c r="F268" s="60"/>
      <c r="G268" s="60"/>
    </row>
    <row r="269" spans="6:7" ht="15" x14ac:dyDescent="0.2">
      <c r="F269" s="60"/>
      <c r="G269" s="60"/>
    </row>
  </sheetData>
  <mergeCells count="12">
    <mergeCell ref="S3:S5"/>
    <mergeCell ref="T3:T5"/>
    <mergeCell ref="E2:F5"/>
    <mergeCell ref="G2:O2"/>
    <mergeCell ref="Q2:T2"/>
    <mergeCell ref="G3:H3"/>
    <mergeCell ref="I3:J3"/>
    <mergeCell ref="K3:L3"/>
    <mergeCell ref="M3:N3"/>
    <mergeCell ref="O3:O5"/>
    <mergeCell ref="Q3:Q5"/>
    <mergeCell ref="R3:R5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Sandra</dc:creator>
  <cp:lastModifiedBy>Johnson, Sandra</cp:lastModifiedBy>
  <dcterms:created xsi:type="dcterms:W3CDTF">2025-12-10T21:01:30Z</dcterms:created>
  <dcterms:modified xsi:type="dcterms:W3CDTF">2025-12-22T13:31:47Z</dcterms:modified>
</cp:coreProperties>
</file>