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A585892B-AAB9-4766-B73A-EC7D68EBA059}" xr6:coauthVersionLast="47" xr6:coauthVersionMax="47" xr10:uidLastSave="{00000000-0000-0000-0000-000000000000}"/>
  <bookViews>
    <workbookView xWindow="-120" yWindow="-120" windowWidth="25440" windowHeight="15390" xr2:uid="{D2441157-75BC-4E29-9978-B9873841C1A1}"/>
  </bookViews>
  <sheets>
    <sheet name="2021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'2021'!$A$1:$E$44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C40" i="2"/>
</calcChain>
</file>

<file path=xl/sharedStrings.xml><?xml version="1.0" encoding="utf-8"?>
<sst xmlns="http://schemas.openxmlformats.org/spreadsheetml/2006/main" count="55" uniqueCount="45">
  <si>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</si>
  <si>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</si>
  <si>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</si>
  <si>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</si>
  <si>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</si>
  <si>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Did not apply</t>
  </si>
  <si>
    <t>CSI Charter School</t>
  </si>
  <si>
    <t>Gate City Charter School For the Arts</t>
  </si>
  <si>
    <t xml:space="preserve"> </t>
  </si>
  <si>
    <t>Great Bay Charter School</t>
  </si>
  <si>
    <t>Kreiva Academy Public Charter School</t>
  </si>
  <si>
    <t>LEAF Charter School</t>
  </si>
  <si>
    <t>Ledyard Charter School</t>
  </si>
  <si>
    <t>No lease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</si>
  <si>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</si>
  <si>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</si>
  <si>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</si>
  <si>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</si>
  <si>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</si>
  <si>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</si>
  <si>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</si>
  <si>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</si>
  <si>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</si>
  <si>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</si>
  <si>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</si>
  <si>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</si>
  <si>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</si>
  <si>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</si>
  <si>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</si>
  <si>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</si>
  <si>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</si>
  <si>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>TOTALS:</t>
  </si>
  <si>
    <t>Arts Academy of NH (formerly Granite State Arts Academy)</t>
  </si>
  <si>
    <t>Capital City Public Charter School</t>
  </si>
  <si>
    <t>Closed</t>
  </si>
  <si>
    <t>Cocheco Academy for the Arts</t>
  </si>
  <si>
    <t>Making Community Connections Charter School (Manchester)</t>
  </si>
  <si>
    <t>PACE Career Academy Charter School</t>
  </si>
  <si>
    <t>Not open</t>
  </si>
  <si>
    <t>Incomplete Application</t>
  </si>
  <si>
    <t>FY21 Charter School Lease Aid Payments</t>
  </si>
  <si>
    <t>(School Year 2020-2021)</t>
  </si>
  <si>
    <t>1. FY21 - $500,000 appropriation, full lease aid payments made</t>
  </si>
  <si>
    <t xml:space="preserve">Reason No Lease Aid Was Granted in FY21 </t>
  </si>
  <si>
    <r>
      <t>Grant Amount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(prior to proration; min: 30% or 30k)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</si>
</sst>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164" fontId="7" fillId="3" borderId="3" xfId="1" applyNumberFormat="1" applyFont="1" applyFill="1" applyBorder="1" applyAlignment="1">
      <alignment horizontal="center"/>
    </xf>
    <xf numFmtId="164" fontId="7" fillId="3" borderId="5" xfId="1" applyNumberFormat="1" applyFont="1" applyFill="1" applyBorder="1" applyAlignment="1">
      <alignment horizontal="center"/>
    </xf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3" applyFont="1" applyBorder="1" applyAlignment="1">
      <alignment horizontal="center"/>
    </xf>
    <xf numFmtId="164" fontId="7" fillId="3" borderId="0" xfId="1" applyNumberFormat="1" applyFont="1" applyFill="1" applyBorder="1" applyAlignment="1"/>
    <xf numFmtId="44" fontId="7" fillId="3" borderId="3" xfId="1" applyFont="1" applyFill="1" applyBorder="1" applyAlignment="1"/>
    <xf numFmtId="44" fontId="7" fillId="3" borderId="4" xfId="1" applyFont="1" applyFill="1" applyBorder="1" applyAlignment="1"/>
    <xf numFmtId="44" fontId="7" fillId="3" borderId="0" xfId="1" applyFont="1" applyFill="1" applyBorder="1" applyAlignment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44" fontId="7" fillId="3" borderId="6" xfId="1" applyFont="1" applyFill="1" applyBorder="1" applyAlignment="1"/>
    <xf numFmtId="164" fontId="7" fillId="3" borderId="6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0" xfId="3" applyAlignment="1">
      <alignment horizontal="right"/>
    </xf>
    <xf numFmtId="0" fontId="7" fillId="0" borderId="0" xfId="0" applyFont="1" applyBorder="1" applyAlignment="1">
      <alignment horizontal="center" vertical="center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2833073</xdr:colOff>
      <xdr:row>0</xdr:row>
      <xdr:rowOff>153611</xdr:rowOff>
    </xdr:from>
    <xdr:to>
      <xdr:col>2</xdr:col>
      <xdr:colOff>393098</xdr:colOff>
      <xdr:row>4</xdr:row>
      <xdr:rowOff>76590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74FCE-9F9F-11B7-4DDB-75BA592A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3073" y="153611"/>
          <a:ext cx="2116150" cy="65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L43"/>
  <sheetViews>
    <sheetView tabSelected="1" zoomScaleNormal="100" workbookViewId="0">
      <selection activeCell="D9" sqref="D9"/>
    </sheetView>
  </sheetViews>
  <sheetFormatPr defaultColWidth="9.140625" defaultRowHeight="15" x14ac:dyDescent="0.25"/>
  <cols>
    <col min="1" max="1" width="57.140625" style="4" bestFit="1" customWidth="1"/>
    <col min="2" max="2" width="8.140625" style="11" customWidth="1"/>
    <col min="3" max="3" width="14.28515625" style="4" bestFit="1" customWidth="1"/>
    <col min="4" max="4" width="15.42578125" style="4" customWidth="1"/>
    <col min="5" max="5" width="22.28515625" style="11" customWidth="1"/>
    <col min="6" max="16384" width="9.140625" style="4"/>
  </cols>
  <sheetData>
    <row r="6" spans="1:5" s="1" customFormat="1" ht="15.75" x14ac:dyDescent="0.25">
      <c r="A6" s="28" t="s">
        <v>40</v>
      </c>
      <c r="B6" s="28"/>
      <c r="C6" s="28"/>
      <c r="D6" s="28"/>
      <c r="E6" s="28"/>
    </row>
    <row r="7" spans="1:5" s="1" customFormat="1" ht="15.75" x14ac:dyDescent="0.25">
      <c r="A7" s="28" t="s">
        <v>41</v>
      </c>
      <c r="B7" s="28"/>
      <c r="C7" s="28"/>
      <c r="D7" s="28"/>
      <c r="E7" s="28"/>
    </row>
    <row r="8" spans="1:5" s="1" customFormat="1" ht="15.75" x14ac:dyDescent="0.25">
      <c r="B8" s="2"/>
      <c r="C8" s="3"/>
      <c r="D8" s="3"/>
      <c r="E8" s="3"/>
    </row>
    <row r="9" spans="1:5" s="5" customFormat="1" ht="62.25" customHeight="1" x14ac:dyDescent="0.25">
      <c r="A9" s="16" t="s">
        <v>0</v>
      </c>
      <c r="B9" s="16" t="s">
        <v>1</v>
      </c>
      <c r="C9" s="17" t="s">
        <v>2</v>
      </c>
      <c r="D9" s="18" t="s">
        <v>44</v>
      </c>
      <c r="E9" s="18" t="s">
        <v>43</v>
      </c>
    </row>
    <row r="10" spans="1:5" ht="18" customHeight="1" x14ac:dyDescent="0.25">
      <c r="A10" s="6" t="s">
        <v>3</v>
      </c>
      <c r="B10" s="7">
        <v>725</v>
      </c>
      <c r="C10" s="21">
        <v>485933</v>
      </c>
      <c r="D10" s="21">
        <v>30000</v>
      </c>
      <c r="E10" s="14"/>
    </row>
    <row r="11" spans="1:5" ht="18" customHeight="1" x14ac:dyDescent="0.25">
      <c r="A11" s="8" t="s">
        <v>32</v>
      </c>
      <c r="B11" s="9">
        <v>702</v>
      </c>
      <c r="C11" s="22">
        <v>147288</v>
      </c>
      <c r="D11" s="22">
        <v>30000</v>
      </c>
      <c r="E11" s="15"/>
    </row>
    <row r="12" spans="1:5" ht="18" customHeight="1" x14ac:dyDescent="0.25">
      <c r="A12" s="8" t="s">
        <v>33</v>
      </c>
      <c r="B12" s="9">
        <v>710</v>
      </c>
      <c r="C12" s="22">
        <v>0</v>
      </c>
      <c r="D12" s="22">
        <v>0</v>
      </c>
      <c r="E12" s="15" t="s">
        <v>38</v>
      </c>
    </row>
    <row r="13" spans="1:5" ht="18" customHeight="1" x14ac:dyDescent="0.25">
      <c r="A13" s="8" t="s">
        <v>35</v>
      </c>
      <c r="B13" s="9">
        <v>707</v>
      </c>
      <c r="C13" s="22">
        <v>34267.86</v>
      </c>
      <c r="D13" s="22">
        <v>10280.358</v>
      </c>
      <c r="E13" s="15"/>
    </row>
    <row r="14" spans="1:5" ht="18" customHeight="1" x14ac:dyDescent="0.25">
      <c r="A14" s="8" t="s">
        <v>4</v>
      </c>
      <c r="B14" s="9">
        <v>743</v>
      </c>
      <c r="C14" s="22">
        <v>0</v>
      </c>
      <c r="D14" s="22">
        <v>0</v>
      </c>
      <c r="E14" s="15" t="s">
        <v>5</v>
      </c>
    </row>
    <row r="15" spans="1:5" ht="18" customHeight="1" x14ac:dyDescent="0.25">
      <c r="A15" s="8" t="s">
        <v>6</v>
      </c>
      <c r="B15" s="9">
        <v>723</v>
      </c>
      <c r="C15" s="22">
        <v>0</v>
      </c>
      <c r="D15" s="22">
        <v>0</v>
      </c>
      <c r="E15" s="15" t="s">
        <v>5</v>
      </c>
    </row>
    <row r="16" spans="1:5" ht="18" customHeight="1" x14ac:dyDescent="0.25">
      <c r="A16" s="8" t="s">
        <v>7</v>
      </c>
      <c r="B16" s="9">
        <v>742</v>
      </c>
      <c r="C16" s="22">
        <v>0</v>
      </c>
      <c r="D16" s="22">
        <v>0</v>
      </c>
      <c r="E16" s="15" t="s">
        <v>5</v>
      </c>
    </row>
    <row r="17" spans="1:5" ht="18" customHeight="1" x14ac:dyDescent="0.25">
      <c r="A17" s="8" t="s">
        <v>9</v>
      </c>
      <c r="B17" s="9">
        <v>709</v>
      </c>
      <c r="C17" s="22">
        <v>0</v>
      </c>
      <c r="D17" s="22">
        <v>0</v>
      </c>
      <c r="E17" s="15" t="s">
        <v>5</v>
      </c>
    </row>
    <row r="18" spans="1:5" ht="18" customHeight="1" x14ac:dyDescent="0.25">
      <c r="A18" s="8" t="s">
        <v>10</v>
      </c>
      <c r="B18" s="9">
        <v>708</v>
      </c>
      <c r="C18" s="22">
        <v>336405</v>
      </c>
      <c r="D18" s="22">
        <v>30000</v>
      </c>
      <c r="E18" s="15"/>
    </row>
    <row r="19" spans="1:5" ht="18" customHeight="1" x14ac:dyDescent="0.25">
      <c r="A19" s="8" t="s">
        <v>11</v>
      </c>
      <c r="B19" s="9">
        <v>706</v>
      </c>
      <c r="C19" s="22">
        <v>0</v>
      </c>
      <c r="D19" s="22">
        <v>0</v>
      </c>
      <c r="E19" s="15" t="s">
        <v>5</v>
      </c>
    </row>
    <row r="20" spans="1:5" ht="18" customHeight="1" x14ac:dyDescent="0.25">
      <c r="A20" s="8" t="s">
        <v>12</v>
      </c>
      <c r="B20" s="9">
        <v>719</v>
      </c>
      <c r="C20" s="22">
        <v>0</v>
      </c>
      <c r="D20" s="22">
        <v>0</v>
      </c>
      <c r="E20" s="15" t="s">
        <v>13</v>
      </c>
    </row>
    <row r="21" spans="1:5" ht="18" customHeight="1" x14ac:dyDescent="0.25">
      <c r="A21" s="8" t="s">
        <v>36</v>
      </c>
      <c r="B21" s="19" t="s">
        <v>34</v>
      </c>
      <c r="C21" s="22">
        <v>67137</v>
      </c>
      <c r="D21" s="22">
        <v>20141.099999999999</v>
      </c>
      <c r="E21" s="15"/>
    </row>
    <row r="22" spans="1:5" ht="18" customHeight="1" x14ac:dyDescent="0.25">
      <c r="A22" s="8" t="s">
        <v>14</v>
      </c>
      <c r="B22" s="30">
        <v>733</v>
      </c>
      <c r="C22" s="22">
        <v>96972</v>
      </c>
      <c r="D22" s="22">
        <v>29091.599999999999</v>
      </c>
      <c r="E22" s="15"/>
    </row>
    <row r="23" spans="1:5" ht="18" customHeight="1" x14ac:dyDescent="0.25">
      <c r="A23" s="8" t="s">
        <v>15</v>
      </c>
      <c r="B23" s="30">
        <v>744</v>
      </c>
      <c r="C23" s="22">
        <v>0</v>
      </c>
      <c r="D23" s="22">
        <v>0</v>
      </c>
      <c r="E23" s="15" t="s">
        <v>13</v>
      </c>
    </row>
    <row r="24" spans="1:5" ht="18" customHeight="1" x14ac:dyDescent="0.25">
      <c r="A24" s="8" t="s">
        <v>16</v>
      </c>
      <c r="B24" s="9">
        <v>729</v>
      </c>
      <c r="C24" s="22">
        <v>120193</v>
      </c>
      <c r="D24" s="22">
        <v>30000</v>
      </c>
      <c r="E24" s="15"/>
    </row>
    <row r="25" spans="1:5" ht="18" customHeight="1" x14ac:dyDescent="0.25">
      <c r="A25" s="8" t="s">
        <v>17</v>
      </c>
      <c r="B25" s="9">
        <v>704</v>
      </c>
      <c r="C25" s="22">
        <v>0</v>
      </c>
      <c r="D25" s="22">
        <v>0</v>
      </c>
      <c r="E25" s="15" t="s">
        <v>13</v>
      </c>
    </row>
    <row r="26" spans="1:5" ht="18" customHeight="1" x14ac:dyDescent="0.25">
      <c r="A26" s="8" t="s">
        <v>18</v>
      </c>
      <c r="B26" s="9">
        <v>740</v>
      </c>
      <c r="C26" s="22">
        <v>23334.93</v>
      </c>
      <c r="D26" s="22">
        <v>7000.4790000000003</v>
      </c>
      <c r="E26" s="15"/>
    </row>
    <row r="27" spans="1:5" ht="18" customHeight="1" x14ac:dyDescent="0.25">
      <c r="A27" s="8" t="s">
        <v>19</v>
      </c>
      <c r="B27" s="9">
        <v>703</v>
      </c>
      <c r="C27" s="22">
        <v>40328.020000000004</v>
      </c>
      <c r="D27" s="22">
        <v>12098.406000000001</v>
      </c>
      <c r="E27" s="15"/>
    </row>
    <row r="28" spans="1:5" ht="18" customHeight="1" x14ac:dyDescent="0.25">
      <c r="A28" s="8" t="s">
        <v>20</v>
      </c>
      <c r="B28" s="9">
        <v>716</v>
      </c>
      <c r="C28" s="22">
        <v>66375.8</v>
      </c>
      <c r="D28" s="22">
        <v>19912.740000000002</v>
      </c>
      <c r="E28" s="15"/>
    </row>
    <row r="29" spans="1:5" ht="18" customHeight="1" x14ac:dyDescent="0.25">
      <c r="A29" s="8" t="s">
        <v>37</v>
      </c>
      <c r="B29" s="9">
        <v>728</v>
      </c>
      <c r="C29" s="22">
        <v>0</v>
      </c>
      <c r="D29" s="22">
        <v>0</v>
      </c>
      <c r="E29" s="15" t="s">
        <v>5</v>
      </c>
    </row>
    <row r="30" spans="1:5" ht="18" customHeight="1" x14ac:dyDescent="0.25">
      <c r="A30" s="8" t="s">
        <v>21</v>
      </c>
      <c r="B30" s="9">
        <v>735</v>
      </c>
      <c r="C30" s="22">
        <v>0</v>
      </c>
      <c r="D30" s="22">
        <v>0</v>
      </c>
      <c r="E30" s="15" t="s">
        <v>13</v>
      </c>
    </row>
    <row r="31" spans="1:5" ht="18" customHeight="1" x14ac:dyDescent="0.25">
      <c r="A31" s="8" t="s">
        <v>22</v>
      </c>
      <c r="B31" s="9">
        <v>737</v>
      </c>
      <c r="C31" s="22">
        <v>45600</v>
      </c>
      <c r="D31" s="22">
        <v>13680</v>
      </c>
      <c r="E31" s="15"/>
    </row>
    <row r="32" spans="1:5" ht="18" customHeight="1" x14ac:dyDescent="0.25">
      <c r="A32" s="8" t="s">
        <v>23</v>
      </c>
      <c r="B32" s="9">
        <v>705</v>
      </c>
      <c r="C32" s="22">
        <v>0</v>
      </c>
      <c r="D32" s="22">
        <v>0</v>
      </c>
      <c r="E32" s="15" t="s">
        <v>13</v>
      </c>
    </row>
    <row r="33" spans="1:12" ht="18" customHeight="1" x14ac:dyDescent="0.25">
      <c r="A33" s="8" t="s">
        <v>24</v>
      </c>
      <c r="B33" s="9">
        <v>714</v>
      </c>
      <c r="C33" s="22">
        <v>0</v>
      </c>
      <c r="D33" s="22">
        <v>0</v>
      </c>
      <c r="E33" s="15" t="s">
        <v>39</v>
      </c>
    </row>
    <row r="34" spans="1:12" ht="16.5" customHeight="1" x14ac:dyDescent="0.25">
      <c r="A34" s="10" t="s">
        <v>25</v>
      </c>
      <c r="B34" s="9">
        <v>721</v>
      </c>
      <c r="C34" s="22">
        <v>208140</v>
      </c>
      <c r="D34" s="22">
        <v>30000</v>
      </c>
      <c r="E34" s="15"/>
    </row>
    <row r="35" spans="1:12" x14ac:dyDescent="0.25">
      <c r="A35" s="8" t="s">
        <v>26</v>
      </c>
      <c r="B35" s="9">
        <v>717</v>
      </c>
      <c r="C35" s="22">
        <v>101777.55</v>
      </c>
      <c r="D35" s="22">
        <v>30000</v>
      </c>
      <c r="E35" s="15"/>
    </row>
    <row r="36" spans="1:12" x14ac:dyDescent="0.25">
      <c r="A36" s="8" t="s">
        <v>27</v>
      </c>
      <c r="B36" s="9">
        <v>731</v>
      </c>
      <c r="C36" s="22">
        <v>284900</v>
      </c>
      <c r="D36" s="22">
        <v>30000</v>
      </c>
      <c r="E36" s="15"/>
    </row>
    <row r="37" spans="1:12" x14ac:dyDescent="0.25">
      <c r="A37" s="8" t="s">
        <v>28</v>
      </c>
      <c r="B37" s="9">
        <v>741</v>
      </c>
      <c r="C37" s="22">
        <v>177000</v>
      </c>
      <c r="D37" s="22">
        <v>30000</v>
      </c>
      <c r="E37" s="15"/>
    </row>
    <row r="38" spans="1:12" x14ac:dyDescent="0.25">
      <c r="A38" s="8" t="s">
        <v>29</v>
      </c>
      <c r="B38" s="9">
        <v>727</v>
      </c>
      <c r="C38" s="22">
        <v>0</v>
      </c>
      <c r="D38" s="22">
        <v>0</v>
      </c>
      <c r="E38" s="15" t="s">
        <v>13</v>
      </c>
    </row>
    <row r="39" spans="1:12" x14ac:dyDescent="0.25">
      <c r="A39" s="24" t="s">
        <v>30</v>
      </c>
      <c r="B39" s="25">
        <v>712</v>
      </c>
      <c r="C39" s="26">
        <v>284583.33</v>
      </c>
      <c r="D39" s="26">
        <v>30000</v>
      </c>
      <c r="E39" s="27"/>
    </row>
    <row r="40" spans="1:12" s="11" customFormat="1" x14ac:dyDescent="0.25">
      <c r="A40" s="29" t="s">
        <v>31</v>
      </c>
      <c r="B40" s="29"/>
      <c r="C40" s="23">
        <f t="shared" ref="C40:D40" si="0">SUM(C10:C39)</f>
        <v>2520235.4900000002</v>
      </c>
      <c r="D40" s="23">
        <f t="shared" si="0"/>
        <v>382204.68299999996</v>
      </c>
      <c r="E40" s="20" t="s">
        <v>8</v>
      </c>
      <c r="F40" s="4"/>
      <c r="G40" s="4"/>
      <c r="H40" s="4"/>
      <c r="I40" s="4"/>
      <c r="J40" s="4"/>
      <c r="K40" s="4"/>
      <c r="L40" s="4"/>
    </row>
    <row r="41" spans="1:12" s="11" customFormat="1" x14ac:dyDescent="0.25">
      <c r="A41" s="4"/>
      <c r="C41" s="20"/>
      <c r="D41" s="20"/>
      <c r="E41" s="20"/>
      <c r="F41" s="4"/>
      <c r="G41" s="4"/>
      <c r="H41" s="4"/>
      <c r="I41" s="4"/>
      <c r="J41" s="4"/>
      <c r="K41" s="4"/>
      <c r="L41" s="4"/>
    </row>
    <row r="42" spans="1:12" s="11" customFormat="1" x14ac:dyDescent="0.25">
      <c r="A42" s="4"/>
      <c r="C42" s="20"/>
      <c r="D42" s="20"/>
      <c r="E42" s="20"/>
      <c r="F42" s="4"/>
      <c r="G42" s="4"/>
      <c r="H42" s="4"/>
      <c r="I42" s="4"/>
      <c r="J42" s="4"/>
      <c r="K42" s="4"/>
      <c r="L42" s="4"/>
    </row>
    <row r="43" spans="1:12" s="11" customFormat="1" x14ac:dyDescent="0.25">
      <c r="A43" s="12" t="s">
        <v>42</v>
      </c>
      <c r="C43" s="13"/>
      <c r="D43" s="13"/>
      <c r="F43" s="4"/>
      <c r="G43" s="4"/>
      <c r="H43" s="4"/>
      <c r="I43" s="4"/>
      <c r="J43" s="4"/>
      <c r="K43" s="4"/>
      <c r="L43" s="4"/>
    </row>
  </sheetData>
  <mergeCells count="3">
    <mergeCell ref="A6:E6"/>
    <mergeCell ref="A7:E7"/>
    <mergeCell ref="A40:B40"/>
  </mergeCells>
  <pageMargins left="0.6" right="0.45" top="0.5" bottom="0.5" header="0.3" footer="0.3"/>
  <pageSetup scale="8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2021</vt:lpstr>
      <vt:lpstr>Sheet1</vt:lpstr>
      <vt:lpstr>'2021'!Print_Area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Gorman, Carrie</cp:lastModifiedBy>
  <cp:lastPrinted>2024-09-05T12:15:24Z</cp:lastPrinted>
  <dcterms:created xsi:type="dcterms:W3CDTF">2023-09-07T15:37:42Z</dcterms:created>
  <dcterms:modified xsi:type="dcterms:W3CDTF">2024-09-05T12:32:31Z</dcterms:modified>
</cp:coreProperties>
</file>